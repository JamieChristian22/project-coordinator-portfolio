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8b3df65a2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trics" sheetId="1" r:id="Rb9a2985c26184d23"/>
    <x:sheet xmlns:r="http://schemas.openxmlformats.org/officeDocument/2006/relationships" name="Workstream Status" sheetId="2" r:id="R325ccc1b54c84fdb"/>
    <x:sheet xmlns:r="http://schemas.openxmlformats.org/officeDocument/2006/relationships" name="Task Tracker" sheetId="3" r:id="R4f7384ebce9b4881"/>
    <x:sheet xmlns:r="http://schemas.openxmlformats.org/officeDocument/2006/relationships" name="Data Migration" sheetId="4" r:id="Rf089a89ba13d4ee1"/>
    <x:sheet xmlns:r="http://schemas.openxmlformats.org/officeDocument/2006/relationships" name="UAT &amp; Defects" sheetId="5" r:id="R03f4f81b666a4134"/>
    <x:sheet xmlns:r="http://schemas.openxmlformats.org/officeDocument/2006/relationships" name="Training &amp; Adoption" sheetId="6" r:id="Rc55881a767c446a9"/>
    <x:sheet xmlns:r="http://schemas.openxmlformats.org/officeDocument/2006/relationships" name="RAID Log" sheetId="7" r:id="R7e2ca65182774f53"/>
    <x:sheet xmlns:r="http://schemas.openxmlformats.org/officeDocument/2006/relationships" name="Milestones" sheetId="8" r:id="Rf536f7aaf78349d5"/>
    <x:sheet xmlns:r="http://schemas.openxmlformats.org/officeDocument/2006/relationships" name="Budget" sheetId="9" r:id="R3eb6278516704177"/>
    <x:sheet xmlns:r="http://schemas.openxmlformats.org/officeDocument/2006/relationships" name="RACI &amp; Stakeholders" sheetId="10" r:id="Re3d2d17f1f1145a5"/>
    <x:sheet xmlns:r="http://schemas.openxmlformats.org/officeDocument/2006/relationships" name="Change Log" sheetId="11" r:id="Ref5edbb025014da3"/>
    <x:sheet xmlns:r="http://schemas.openxmlformats.org/officeDocument/2006/relationships" name="Dashboard" sheetId="12" r:id="R9c920d60fa5e4955"/>
    <x:sheet xmlns:r="http://schemas.openxmlformats.org/officeDocument/2006/relationships" name="Formula Guide" sheetId="13" r:id="R41c0b1d8c795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mmm d, yyyy"/>
    <x:numFmt numFmtId="202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2" fillId="3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202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b28cf26b848d9" /><Relationship Type="http://schemas.openxmlformats.org/officeDocument/2006/relationships/theme" Target="/xl/theme/theme1.xml" Id="Rd709f5a895fd478c" /><Relationship Type="http://schemas.openxmlformats.org/officeDocument/2006/relationships/sharedStrings" Target="/xl/sharedStrings.xml" Id="Rb03f9861acca4d55" /><Relationship Type="http://schemas.openxmlformats.org/officeDocument/2006/relationships/worksheet" Target="/xl/worksheets/sheet1.xml" Id="Rb9a2985c26184d23" /><Relationship Type="http://schemas.openxmlformats.org/officeDocument/2006/relationships/worksheet" Target="/xl/worksheets/sheet2.xml" Id="R325ccc1b54c84fdb" /><Relationship Type="http://schemas.openxmlformats.org/officeDocument/2006/relationships/worksheet" Target="/xl/worksheets/sheet3.xml" Id="R4f7384ebce9b4881" /><Relationship Type="http://schemas.openxmlformats.org/officeDocument/2006/relationships/worksheet" Target="/xl/worksheets/sheet4.xml" Id="Rf089a89ba13d4ee1" /><Relationship Type="http://schemas.openxmlformats.org/officeDocument/2006/relationships/worksheet" Target="/xl/worksheets/sheet5.xml" Id="R03f4f81b666a4134" /><Relationship Type="http://schemas.openxmlformats.org/officeDocument/2006/relationships/worksheet" Target="/xl/worksheets/sheet6.xml" Id="Rc55881a767c446a9" /><Relationship Type="http://schemas.openxmlformats.org/officeDocument/2006/relationships/worksheet" Target="/xl/worksheets/sheet7.xml" Id="R7e2ca65182774f53" /><Relationship Type="http://schemas.openxmlformats.org/officeDocument/2006/relationships/worksheet" Target="/xl/worksheets/sheet8.xml" Id="Rf536f7aaf78349d5" /><Relationship Type="http://schemas.openxmlformats.org/officeDocument/2006/relationships/worksheet" Target="/xl/worksheets/sheet9.xml" Id="R3eb6278516704177" /><Relationship Type="http://schemas.openxmlformats.org/officeDocument/2006/relationships/worksheet" Target="/xl/worksheets/sheet10.xml" Id="Re3d2d17f1f1145a5" /><Relationship Type="http://schemas.openxmlformats.org/officeDocument/2006/relationships/worksheet" Target="/xl/worksheets/sheet11.xml" Id="Ref5edbb025014da3" /><Relationship Type="http://schemas.openxmlformats.org/officeDocument/2006/relationships/worksheet" Target="/xl/worksheets/sheet12.xml" Id="R9c920d60fa5e4955" /><Relationship Type="http://schemas.openxmlformats.org/officeDocument/2006/relationships/worksheet" Target="/xl/worksheets/sheet13.xml" Id="R41c0b1d8c79545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f7ecb9fce54e8e" /><Relationship Type="http://schemas.openxmlformats.org/officeDocument/2006/relationships/chart" Target="/xl/drawings/charts/chart2.xml" Id="Rff092b3c410746d7" /><Relationship Type="http://schemas.openxmlformats.org/officeDocument/2006/relationships/chart" Target="/xl/drawings/charts/chart3.xml" Id="Rade0090dca90495d" /><Relationship Type="http://schemas.openxmlformats.org/officeDocument/2006/relationships/chart" Target="/xl/drawings/charts/chart4.xml" Id="R8e2345bb1f8c49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UAT Pass Rate Trend</a:t>
            </a:r>
          </a:p>
        </c:rich>
      </c:tx>
    </c:title>
    <c:plotArea>
      <c:lineChart>
        <c:grouping val="standard"/>
        <c:ser>
          <c:idx val="0"/>
          <c:order val="0"/>
          <c:tx>
            <c:v>UAT Pass %</c:v>
          </c:tx>
          <c:marker>
            <c:symbol val="none"/>
          </c:marker>
          <c:cat>
            <c:strRef>
              <c:f>'Dashboard'!$K$3:$K$8</c:f>
              <c:strCache>
                <c:ptCount val="0"/>
              </c:strCache>
            </c:strRef>
          </c:cat>
          <c:val>
            <c:numRef>
              <c:f>'Dashboard'!$L$3:$L$8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User Adoption Trend</a:t>
            </a:r>
          </a:p>
        </c:rich>
      </c:tx>
    </c:title>
    <c:plotArea>
      <c:lineChart>
        <c:grouping val="standard"/>
        <c:ser>
          <c:idx val="0"/>
          <c:order val="0"/>
          <c:tx>
            <c:v>Login Adoption %</c:v>
          </c:tx>
          <c:marker>
            <c:symbol val="none"/>
          </c:marker>
          <c:cat>
            <c:strRef>
              <c:f>'Dashboard'!$N$3:$N$8</c:f>
              <c:strCache>
                <c:ptCount val="0"/>
              </c:strCache>
            </c:strRef>
          </c:cat>
          <c:val>
            <c:numRef>
              <c:f>'Dashboard'!$O$3:$O$8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Migration Success by Object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Migration Success %</c:v>
          </c:tx>
          <c:cat>
            <c:strRef>
              <c:f>'Dashboard'!$Q$3:$Q$6</c:f>
              <c:strCache>
                <c:ptCount val="0"/>
              </c:strCache>
            </c:strRef>
          </c:cat>
          <c:val>
            <c:numRef>
              <c:f>'Dashboard'!$R$3:$R$6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Actual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 Budget</c:v>
          </c:tx>
          <c:cat>
            <c:strRef>
              <c:f>'Budget'!$A$2:$A$8</c:f>
              <c:strCache>
                <c:ptCount val="0"/>
              </c:strCache>
            </c:strRef>
          </c:cat>
          <c:val>
            <c:numRef>
              <c:f>'Budget'!$B$2:$B$8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'Budget'!$A$2:$A$8</c:f>
              <c:strCache>
                <c:ptCount val="0"/>
              </c:strCache>
            </c:strRef>
          </c:cat>
          <c:val>
            <c:numRef>
              <c:f>'Budget'!$C$2:$C$8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9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f7ecb9fce54e8e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092b3c410746d7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0090dca90495d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2345bb1f8c49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1f0e7c484e42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20" hidden="0" customWidth="1"/>
    <x:col min="11" max="11" width="12" hidden="0" customWidth="1"/>
    <x:col min="12" max="12" width="16" hidden="0" customWidth="1"/>
    <x:col min="13" max="13" width="20" hidden="0" customWidth="1"/>
  </x:cols>
  <x:sheetData>
    <x:row r="1">
      <x:c r="A1" s="8" t="str">
        <x:v>Week</x:v>
      </x:c>
      <x:c r="B1" s="8" t="str">
        <x:v>Requirements Approved</x:v>
      </x:c>
      <x:c r="C1" s="8" t="str">
        <x:v>Config Items Complete</x:v>
      </x:c>
      <x:c r="D1" s="8" t="str">
        <x:v>Migration Records Loaded</x:v>
      </x:c>
      <x:c r="E1" s="8" t="str">
        <x:v>Migration Success %</x:v>
      </x:c>
      <x:c r="F1" s="8" t="str">
        <x:v>UAT Cases Executed</x:v>
      </x:c>
      <x:c r="G1" s="8" t="str">
        <x:v>UAT Pass %</x:v>
      </x:c>
      <x:c r="H1" s="8" t="str">
        <x:v>Critical Defects</x:v>
      </x:c>
      <x:c r="I1" s="8" t="str">
        <x:v>Open Defects</x:v>
      </x:c>
      <x:c r="J1" s="8" t="str">
        <x:v>Training Completion %</x:v>
      </x:c>
      <x:c r="K1" s="8" t="str">
        <x:v>Active Users</x:v>
      </x:c>
      <x:c r="L1" s="8" t="str">
        <x:v>Login Adoption %</x:v>
      </x:c>
      <x:c r="M1" s="8" t="str">
        <x:v>Milestones Completed</x:v>
      </x:c>
    </x:row>
    <x:row r="2">
      <x:c r="A2" s="14" t="str">
        <x:v>Week 1</x:v>
      </x:c>
      <x:c r="B2" s="14" t="n">
        <x:v>18</x:v>
      </x:c>
      <x:c r="C2" s="14" t="n">
        <x:v>12</x:v>
      </x:c>
      <x:c r="D2" s="14" t="n">
        <x:v>0</x:v>
      </x:c>
      <x:c r="E2" s="15"/>
      <x:c r="F2" s="14" t="n">
        <x:v>0</x:v>
      </x:c>
      <x:c r="G2" s="15"/>
      <x:c r="H2" s="14" t="n">
        <x:v>4</x:v>
      </x:c>
      <x:c r="I2" s="14" t="n">
        <x:v>18</x:v>
      </x:c>
      <x:c r="J2" s="15" t="n">
        <x:v>0</x:v>
      </x:c>
      <x:c r="K2" s="14" t="n">
        <x:v>0</x:v>
      </x:c>
      <x:c r="L2" s="15" t="n">
        <x:v>0</x:v>
      </x:c>
      <x:c r="M2" s="14" t="n">
        <x:v>1</x:v>
      </x:c>
    </x:row>
    <x:row r="3">
      <x:c r="A3" s="14" t="str">
        <x:v>Week 2</x:v>
      </x:c>
      <x:c r="B3" s="14" t="n">
        <x:v>34</x:v>
      </x:c>
      <x:c r="C3" s="14" t="n">
        <x:v>28</x:v>
      </x:c>
      <x:c r="D3" s="14" t="n">
        <x:v>2500</x:v>
      </x:c>
      <x:c r="E3" s="15" t="n">
        <x:v>0.91</x:v>
      </x:c>
      <x:c r="F3" s="14" t="n">
        <x:v>45</x:v>
      </x:c>
      <x:c r="G3" s="15" t="n">
        <x:v>0.78</x:v>
      </x:c>
      <x:c r="H3" s="14" t="n">
        <x:v>3</x:v>
      </x:c>
      <x:c r="I3" s="14" t="n">
        <x:v>16</x:v>
      </x:c>
      <x:c r="J3" s="15" t="n">
        <x:v>0.22</x:v>
      </x:c>
      <x:c r="K3" s="14" t="n">
        <x:v>25</x:v>
      </x:c>
      <x:c r="L3" s="15" t="n">
        <x:v>0.18</x:v>
      </x:c>
      <x:c r="M3" s="14" t="n">
        <x:v>1</x:v>
      </x:c>
    </x:row>
    <x:row r="4">
      <x:c r="A4" s="14" t="str">
        <x:v>Week 3</x:v>
      </x:c>
      <x:c r="B4" s="14" t="n">
        <x:v>47</x:v>
      </x:c>
      <x:c r="C4" s="14" t="n">
        <x:v>43</x:v>
      </x:c>
      <x:c r="D4" s="14" t="n">
        <x:v>7200</x:v>
      </x:c>
      <x:c r="E4" s="15" t="n">
        <x:v>0.95</x:v>
      </x:c>
      <x:c r="F4" s="14" t="n">
        <x:v>96</x:v>
      </x:c>
      <x:c r="G4" s="15" t="n">
        <x:v>0.86</x:v>
      </x:c>
      <x:c r="H4" s="14" t="n">
        <x:v>2</x:v>
      </x:c>
      <x:c r="I4" s="14" t="n">
        <x:v>11</x:v>
      </x:c>
      <x:c r="J4" s="15" t="n">
        <x:v>0.48</x:v>
      </x:c>
      <x:c r="K4" s="14" t="n">
        <x:v>68</x:v>
      </x:c>
      <x:c r="L4" s="15" t="n">
        <x:v>0.49</x:v>
      </x:c>
      <x:c r="M4" s="14" t="n">
        <x:v>1</x:v>
      </x:c>
    </x:row>
    <x:row r="5">
      <x:c r="A5" s="14" t="str">
        <x:v>Week 4</x:v>
      </x:c>
      <x:c r="B5" s="14" t="n">
        <x:v>56</x:v>
      </x:c>
      <x:c r="C5" s="14" t="n">
        <x:v>57</x:v>
      </x:c>
      <x:c r="D5" s="14" t="n">
        <x:v>11800</x:v>
      </x:c>
      <x:c r="E5" s="15" t="n">
        <x:v>0.97</x:v>
      </x:c>
      <x:c r="F5" s="14" t="n">
        <x:v>154</x:v>
      </x:c>
      <x:c r="G5" s="15" t="n">
        <x:v>0.92</x:v>
      </x:c>
      <x:c r="H5" s="14" t="n">
        <x:v>1</x:v>
      </x:c>
      <x:c r="I5" s="14" t="n">
        <x:v>6</x:v>
      </x:c>
      <x:c r="J5" s="15" t="n">
        <x:v>0.71</x:v>
      </x:c>
      <x:c r="K5" s="14" t="n">
        <x:v>101</x:v>
      </x:c>
      <x:c r="L5" s="15" t="n">
        <x:v>0.72</x:v>
      </x:c>
      <x:c r="M5" s="14" t="n">
        <x:v>1</x:v>
      </x:c>
    </x:row>
    <x:row r="6">
      <x:c r="A6" s="14" t="str">
        <x:v>Week 5</x:v>
      </x:c>
      <x:c r="B6" s="14" t="n">
        <x:v>60</x:v>
      </x:c>
      <x:c r="C6" s="14" t="n">
        <x:v>68</x:v>
      </x:c>
      <x:c r="D6" s="14" t="n">
        <x:v>14500</x:v>
      </x:c>
      <x:c r="E6" s="15" t="n">
        <x:v>0.985</x:v>
      </x:c>
      <x:c r="F6" s="14" t="n">
        <x:v>210</x:v>
      </x:c>
      <x:c r="G6" s="15" t="n">
        <x:v>0.96</x:v>
      </x:c>
      <x:c r="H6" s="14" t="n">
        <x:v>0</x:v>
      </x:c>
      <x:c r="I6" s="14" t="n">
        <x:v>3</x:v>
      </x:c>
      <x:c r="J6" s="15" t="n">
        <x:v>0.91</x:v>
      </x:c>
      <x:c r="K6" s="14" t="n">
        <x:v>128</x:v>
      </x:c>
      <x:c r="L6" s="15" t="n">
        <x:v>0.91</x:v>
      </x:c>
      <x:c r="M6" s="14" t="n">
        <x:v>1</x:v>
      </x:c>
    </x:row>
    <x:row r="7">
      <x:c r="A7" s="14" t="str">
        <x:v>Week 6</x:v>
      </x:c>
      <x:c r="B7" s="14" t="n">
        <x:v>60</x:v>
      </x:c>
      <x:c r="C7" s="14" t="n">
        <x:v>72</x:v>
      </x:c>
      <x:c r="D7" s="14" t="n">
        <x:v>14850</x:v>
      </x:c>
      <x:c r="E7" s="15" t="n">
        <x:v>0.994</x:v>
      </x:c>
      <x:c r="F7" s="14" t="n">
        <x:v>228</x:v>
      </x:c>
      <x:c r="G7" s="15" t="n">
        <x:v>0.982</x:v>
      </x:c>
      <x:c r="H7" s="14" t="n">
        <x:v>0</x:v>
      </x:c>
      <x:c r="I7" s="14" t="n">
        <x:v>0</x:v>
      </x:c>
      <x:c r="J7" s="15" t="n">
        <x:v>0.98</x:v>
      </x:c>
      <x:c r="K7" s="14" t="n">
        <x:v>138</x:v>
      </x:c>
      <x:c r="L7" s="15" t="n">
        <x:v>0.986</x:v>
      </x:c>
      <x:c r="M7" s="14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36" hidden="0" customWidth="1"/>
    <x:col min="8" max="8" width="12" hidden="0" customWidth="1"/>
    <x:col min="9" max="9" width="22" hidden="0" customWidth="1"/>
    <x:col min="10" max="10" width="34" hidden="0" customWidth="1"/>
  </x:cols>
  <x:sheetData>
    <x:row r="1">
      <x:c r="A1" s="8" t="str">
        <x:v>Workstream</x:v>
      </x:c>
      <x:c r="B1" s="8" t="str">
        <x:v>Owner</x:v>
      </x:c>
      <x:c r="C1" s="8" t="str">
        <x:v>Baseline %</x:v>
      </x:c>
      <x:c r="D1" s="8" t="str">
        <x:v>Current %</x:v>
      </x:c>
      <x:c r="E1" s="8" t="str">
        <x:v>Variance</x:v>
      </x:c>
      <x:c r="F1" s="8" t="str">
        <x:v>Status</x:v>
      </x:c>
      <x:c r="G1" s="8" t="str">
        <x:v>Key Deliverable</x:v>
      </x:c>
      <x:c r="H1" s="8" t="str">
        <x:v>Open Items</x:v>
      </x:c>
      <x:c r="I1" s="8" t="str">
        <x:v>Dependency</x:v>
      </x:c>
      <x:c r="J1" s="8" t="str">
        <x:v>Notes</x:v>
      </x:c>
    </x:row>
    <x:row r="2">
      <x:c r="A2" s="14" t="str">
        <x:v>Requirements</x:v>
      </x:c>
      <x:c r="B2" s="14" t="str">
        <x:v>Business Analyst</x:v>
      </x:c>
      <x:c r="C2" s="15" t="n">
        <x:v>1</x:v>
      </x:c>
      <x:c r="D2" s="15" t="n">
        <x:v>1</x:v>
      </x:c>
      <x:c r="E2" s="15" t="n">
        <x:f>D2-C2</x:f>
        <x:v>0</x:v>
      </x:c>
      <x:c r="F2" s="14" t="str">
        <x:v>Complete</x:v>
      </x:c>
      <x:c r="G2" s="14" t="str">
        <x:v>Approved requirements backlog</x:v>
      </x:c>
      <x:c r="H2" s="14" t="n">
        <x:v>0</x:v>
      </x:c>
      <x:c r="I2" s="14" t="str">
        <x:v>None</x:v>
      </x:c>
      <x:c r="J2" s="14" t="str">
        <x:v>60 requirements approved</x:v>
      </x:c>
    </x:row>
    <x:row r="3">
      <x:c r="A3" s="14" t="str">
        <x:v>Salesforce Configuration</x:v>
      </x:c>
      <x:c r="B3" s="14" t="str">
        <x:v>Salesforce Admin</x:v>
      </x:c>
      <x:c r="C3" s="15" t="n">
        <x:v>1</x:v>
      </x:c>
      <x:c r="D3" s="15" t="n">
        <x:v>1</x:v>
      </x:c>
      <x:c r="E3" s="15" t="n">
        <x:f>D3-C3</x:f>
        <x:v>0</x:v>
      </x:c>
      <x:c r="F3" s="14" t="str">
        <x:v>Complete</x:v>
      </x:c>
      <x:c r="G3" s="14" t="str">
        <x:v>Configured objects, fields, flows, profiles</x:v>
      </x:c>
      <x:c r="H3" s="14" t="n">
        <x:v>0</x:v>
      </x:c>
      <x:c r="I3" s="14" t="str">
        <x:v>Requirements</x:v>
      </x:c>
      <x:c r="J3" s="14" t="str">
        <x:v>72 config items completed</x:v>
      </x:c>
    </x:row>
    <x:row r="4">
      <x:c r="A4" s="14" t="str">
        <x:v>Data Migration</x:v>
      </x:c>
      <x:c r="B4" s="14" t="str">
        <x:v>Data Lead</x:v>
      </x:c>
      <x:c r="C4" s="15" t="n">
        <x:v>1</x:v>
      </x:c>
      <x:c r="D4" s="15" t="n">
        <x:v>0.994</x:v>
      </x:c>
      <x:c r="E4" s="15" t="n">
        <x:f>D4-C4</x:f>
        <x:v>-0.006000000000000005</x:v>
      </x:c>
      <x:c r="F4" s="14" t="str">
        <x:v>Complete</x:v>
      </x:c>
      <x:c r="G4" s="14" t="str">
        <x:v>Validated legacy CRM migration</x:v>
      </x:c>
      <x:c r="H4" s="14" t="n">
        <x:v>0</x:v>
      </x:c>
      <x:c r="I4" s="14" t="str">
        <x:v>Configuration</x:v>
      </x:c>
      <x:c r="J4" s="14" t="str">
        <x:v>14,850 records loaded</x:v>
      </x:c>
    </x:row>
    <x:row r="5">
      <x:c r="A5" s="14" t="str">
        <x:v>Integration</x:v>
      </x:c>
      <x:c r="B5" s="14" t="str">
        <x:v>Integration Lead</x:v>
      </x:c>
      <x:c r="C5" s="15" t="n">
        <x:v>1</x:v>
      </x:c>
      <x:c r="D5" s="15" t="n">
        <x:v>1</x:v>
      </x:c>
      <x:c r="E5" s="15" t="n">
        <x:f>D5-C5</x:f>
        <x:v>0</x:v>
      </x:c>
      <x:c r="F5" s="14" t="str">
        <x:v>Complete</x:v>
      </x:c>
      <x:c r="G5" s="14" t="str">
        <x:v>Email/calendar + marketing handoff</x:v>
      </x:c>
      <x:c r="H5" s="14" t="n">
        <x:v>0</x:v>
      </x:c>
      <x:c r="I5" s="14" t="str">
        <x:v>Configuration</x:v>
      </x:c>
      <x:c r="J5" s="14" t="str">
        <x:v>Interfaces validated</x:v>
      </x:c>
    </x:row>
    <x:row r="6">
      <x:c r="A6" s="14" t="str">
        <x:v>UAT</x:v>
      </x:c>
      <x:c r="B6" s="14" t="str">
        <x:v>QA Lead</x:v>
      </x:c>
      <x:c r="C6" s="15" t="n">
        <x:v>1</x:v>
      </x:c>
      <x:c r="D6" s="15" t="n">
        <x:v>0.982</x:v>
      </x:c>
      <x:c r="E6" s="15" t="n">
        <x:f>D6-C6</x:f>
        <x:v>-0.018000000000000016</x:v>
      </x:c>
      <x:c r="F6" s="14" t="str">
        <x:v>Complete</x:v>
      </x:c>
      <x:c r="G6" s="14" t="str">
        <x:v>Business UAT and sign-off</x:v>
      </x:c>
      <x:c r="H6" s="14" t="n">
        <x:v>0</x:v>
      </x:c>
      <x:c r="I6" s="14" t="str">
        <x:v>Config + Migration</x:v>
      </x:c>
      <x:c r="J6" s="14" t="str">
        <x:v>228 cases executed</x:v>
      </x:c>
    </x:row>
    <x:row r="7">
      <x:c r="A7" s="14" t="str">
        <x:v>Training &amp; Adoption</x:v>
      </x:c>
      <x:c r="B7" s="14" t="str">
        <x:v>Change Lead</x:v>
      </x:c>
      <x:c r="C7" s="15" t="n">
        <x:v>1</x:v>
      </x:c>
      <x:c r="D7" s="15" t="n">
        <x:v>0.98</x:v>
      </x:c>
      <x:c r="E7" s="15" t="n">
        <x:f>D7-C7</x:f>
        <x:v>-0.020000000000000018</x:v>
      </x:c>
      <x:c r="F7" s="14" t="str">
        <x:v>Complete</x:v>
      </x:c>
      <x:c r="G7" s="14" t="str">
        <x:v>Role-based training + adoption support</x:v>
      </x:c>
      <x:c r="H7" s="14" t="n">
        <x:v>0</x:v>
      </x:c>
      <x:c r="I7" s="14" t="str">
        <x:v>UAT</x:v>
      </x:c>
      <x:c r="J7" s="14" t="str">
        <x:v>98% training completion</x:v>
      </x:c>
    </x:row>
    <x:row r="8">
      <x:c r="A8" s="14" t="str">
        <x:v>Cutover &amp; Hypercare</x:v>
      </x:c>
      <x:c r="B8" s="14" t="str">
        <x:v>Project Coordinator</x:v>
      </x:c>
      <x:c r="C8" s="15" t="n">
        <x:v>1</x:v>
      </x:c>
      <x:c r="D8" s="15" t="n">
        <x:v>1</x:v>
      </x:c>
      <x:c r="E8" s="15" t="n">
        <x:f>D8-C8</x:f>
        <x:v>0</x:v>
      </x:c>
      <x:c r="F8" s="14" t="str">
        <x:v>Complete</x:v>
      </x:c>
      <x:c r="G8" s="14" t="str">
        <x:v>Production cutover and stabilization</x:v>
      </x:c>
      <x:c r="H8" s="14" t="n">
        <x:v>0</x:v>
      </x:c>
      <x:c r="I8" s="14" t="str">
        <x:v>All workstreams</x:v>
      </x:c>
      <x:c r="J8" s="14" t="str">
        <x:v>No open Sev-1/2 defects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6" hidden="0" customWidth="1"/>
    <x:col min="4" max="4" width="20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22" hidden="0" customWidth="1"/>
    <x:col min="11" max="11" width="12" hidden="0" customWidth="1"/>
    <x:col min="12" max="12" width="10" hidden="0" customWidth="1"/>
    <x:col min="13" max="13" width="16" hidden="0" customWidth="1"/>
    <x:col min="14" max="14" width="32" hidden="0" customWidth="1"/>
  </x:cols>
  <x:sheetData>
    <x:row r="1">
      <x:c r="A1" s="8" t="str">
        <x:v>ID</x:v>
      </x:c>
      <x:c r="B1" s="8" t="str">
        <x:v>Workstream</x:v>
      </x:c>
      <x:c r="C1" s="8" t="str">
        <x:v>Task</x:v>
      </x:c>
      <x:c r="D1" s="8" t="str">
        <x:v>Owner</x:v>
      </x:c>
      <x:c r="E1" s="8" t="str">
        <x:v>Priority</x:v>
      </x:c>
      <x:c r="F1" s="8" t="str">
        <x:v>Status</x:v>
      </x:c>
      <x:c r="G1" s="8" t="str">
        <x:v>Start Date</x:v>
      </x:c>
      <x:c r="H1" s="8" t="str">
        <x:v>Due Date</x:v>
      </x:c>
      <x:c r="I1" s="8" t="str">
        <x:v>% Complete</x:v>
      </x:c>
      <x:c r="J1" s="8" t="str">
        <x:v>Dependency</x:v>
      </x:c>
      <x:c r="K1" s="8" t="str">
        <x:v>Days to Due</x:v>
      </x:c>
      <x:c r="L1" s="8" t="str">
        <x:v>Health</x:v>
      </x:c>
      <x:c r="M1" s="8" t="str">
        <x:v>Sprint / Phase</x:v>
      </x:c>
      <x:c r="N1" s="8" t="str">
        <x:v>Notes</x:v>
      </x:c>
    </x:row>
    <x:row r="2">
      <x:c r="A2" s="14" t="str">
        <x:v>SF-001</x:v>
      </x:c>
      <x:c r="B2" s="14" t="str">
        <x:v>Governance</x:v>
      </x:c>
      <x:c r="C2" s="14" t="str">
        <x:v>Approve implementation charter</x:v>
      </x:c>
      <x:c r="D2" s="14" t="str">
        <x:v>Project Coordinator</x:v>
      </x:c>
      <x:c r="E2" s="14" t="str">
        <x:v>High</x:v>
      </x:c>
      <x:c r="F2" s="14" t="str">
        <x:v>Complete</x:v>
      </x:c>
      <x:c r="G2" s="20" t="n">
        <x:v>46027</x:v>
      </x:c>
      <x:c r="H2" s="20" t="n">
        <x:v>46029</x:v>
      </x:c>
      <x:c r="I2" s="15" t="n">
        <x:v>1</x:v>
      </x:c>
      <x:c r="J2" s="14" t="str">
        <x:v>None</x:v>
      </x:c>
      <x:c r="K2" s="14" t="n">
        <x:f>IF(F2="Complete",0,H2-TODAY())</x:f>
        <x:v>0</x:v>
      </x:c>
      <x:c r="L2" s="14" t="str">
        <x:f>IF(F2="Complete","Green",IF(H2&lt;TODAY(),"Red",IF(H2-TODAY()&lt;=3,"Amber","Green")))</x:f>
        <x:v>Green</x:v>
      </x:c>
      <x:c r="M2" s="14" t="str">
        <x:v>Initiation</x:v>
      </x:c>
      <x:c r="N2" s="14" t="str">
        <x:v>Sponsor approved</x:v>
      </x:c>
    </x:row>
    <x:row r="3">
      <x:c r="A3" s="14" t="str">
        <x:v>SF-002</x:v>
      </x:c>
      <x:c r="B3" s="14" t="str">
        <x:v>Requirements</x:v>
      </x:c>
      <x:c r="C3" s="14" t="str">
        <x:v>Complete stakeholder interviews and requirements backlog</x:v>
      </x:c>
      <x:c r="D3" s="14" t="str">
        <x:v>Business Analyst</x:v>
      </x:c>
      <x:c r="E3" s="14" t="str">
        <x:v>Critical</x:v>
      </x:c>
      <x:c r="F3" s="14" t="str">
        <x:v>Complete</x:v>
      </x:c>
      <x:c r="G3" s="20" t="n">
        <x:v>46028</x:v>
      </x:c>
      <x:c r="H3" s="20" t="n">
        <x:v>46038</x:v>
      </x:c>
      <x:c r="I3" s="15" t="n">
        <x:v>1</x:v>
      </x:c>
      <x:c r="J3" s="14" t="str">
        <x:v>SF-001</x:v>
      </x:c>
      <x:c r="K3" s="14" t="n">
        <x:f>IF(F3="Complete",0,H3-TODAY())</x:f>
        <x:v>0</x:v>
      </x:c>
      <x:c r="L3" s="14" t="str">
        <x:f>IF(F3="Complete","Green",IF(H3&lt;TODAY(),"Red",IF(H3-TODAY()&lt;=3,"Amber","Green")))</x:f>
        <x:v>Green</x:v>
      </x:c>
      <x:c r="M3" s="14" t="str">
        <x:v>Discovery</x:v>
      </x:c>
      <x:c r="N3" s="14" t="str">
        <x:v>60 requirements baselined</x:v>
      </x:c>
    </x:row>
    <x:row r="4">
      <x:c r="A4" s="14" t="str">
        <x:v>SF-003</x:v>
      </x:c>
      <x:c r="B4" s="14" t="str">
        <x:v>Design</x:v>
      </x:c>
      <x:c r="C4" s="14" t="str">
        <x:v>Approve solution design and data model</x:v>
      </x:c>
      <x:c r="D4" s="14" t="str">
        <x:v>Solution Architect</x:v>
      </x:c>
      <x:c r="E4" s="14" t="str">
        <x:v>Critical</x:v>
      </x:c>
      <x:c r="F4" s="14" t="str">
        <x:v>Complete</x:v>
      </x:c>
      <x:c r="G4" s="20" t="n">
        <x:v>46036</x:v>
      </x:c>
      <x:c r="H4" s="20" t="n">
        <x:v>46045</x:v>
      </x:c>
      <x:c r="I4" s="15" t="n">
        <x:v>1</x:v>
      </x:c>
      <x:c r="J4" s="14" t="str">
        <x:v>SF-002</x:v>
      </x:c>
      <x:c r="K4" s="14" t="n">
        <x:f>IF(F4="Complete",0,H4-TODAY())</x:f>
        <x:v>0</x:v>
      </x:c>
      <x:c r="L4" s="14" t="str">
        <x:f>IF(F4="Complete","Green",IF(H4&lt;TODAY(),"Red",IF(H4-TODAY()&lt;=3,"Amber","Green")))</x:f>
        <x:v>Green</x:v>
      </x:c>
      <x:c r="M4" s="14" t="str">
        <x:v>Design</x:v>
      </x:c>
      <x:c r="N4" s="14" t="str">
        <x:v>Objects, fields, permissions approved</x:v>
      </x:c>
    </x:row>
    <x:row r="5">
      <x:c r="A5" s="14" t="str">
        <x:v>SF-004</x:v>
      </x:c>
      <x:c r="B5" s="14" t="str">
        <x:v>Configuration</x:v>
      </x:c>
      <x:c r="C5" s="14" t="str">
        <x:v>Configure core Sales Cloud workflow</x:v>
      </x:c>
      <x:c r="D5" s="14" t="str">
        <x:v>Salesforce Admin</x:v>
      </x:c>
      <x:c r="E5" s="14" t="str">
        <x:v>Critical</x:v>
      </x:c>
      <x:c r="F5" s="14" t="str">
        <x:v>Complete</x:v>
      </x:c>
      <x:c r="G5" s="20" t="n">
        <x:v>46042</x:v>
      </x:c>
      <x:c r="H5" s="20" t="n">
        <x:v>46059</x:v>
      </x:c>
      <x:c r="I5" s="15" t="n">
        <x:v>1</x:v>
      </x:c>
      <x:c r="J5" s="14" t="str">
        <x:v>SF-003</x:v>
      </x:c>
      <x:c r="K5" s="14" t="n">
        <x:f>IF(F5="Complete",0,H5-TODAY())</x:f>
        <x:v>0</x:v>
      </x:c>
      <x:c r="L5" s="14" t="str">
        <x:f>IF(F5="Complete","Green",IF(H5&lt;TODAY(),"Red",IF(H5-TODAY()&lt;=3,"Amber","Green")))</x:f>
        <x:v>Green</x:v>
      </x:c>
      <x:c r="M5" s="14" t="str">
        <x:v>Build</x:v>
      </x:c>
      <x:c r="N5" s="14" t="str">
        <x:v>Lead, account, contact, opportunity workflow</x:v>
      </x:c>
    </x:row>
    <x:row r="6">
      <x:c r="A6" s="14" t="str">
        <x:v>SF-005</x:v>
      </x:c>
      <x:c r="B6" s="14" t="str">
        <x:v>Data Migration</x:v>
      </x:c>
      <x:c r="C6" s="14" t="str">
        <x:v>Cleanse and map legacy CRM data</x:v>
      </x:c>
      <x:c r="D6" s="14" t="str">
        <x:v>Data Lead</x:v>
      </x:c>
      <x:c r="E6" s="14" t="str">
        <x:v>Critical</x:v>
      </x:c>
      <x:c r="F6" s="14" t="str">
        <x:v>Complete</x:v>
      </x:c>
      <x:c r="G6" s="20" t="n">
        <x:v>46042</x:v>
      </x:c>
      <x:c r="H6" s="20" t="n">
        <x:v>46063</x:v>
      </x:c>
      <x:c r="I6" s="15" t="n">
        <x:v>1</x:v>
      </x:c>
      <x:c r="J6" s="14" t="str">
        <x:v>SF-003</x:v>
      </x:c>
      <x:c r="K6" s="14" t="n">
        <x:f>IF(F6="Complete",0,H6-TODAY())</x:f>
        <x:v>0</x:v>
      </x:c>
      <x:c r="L6" s="14" t="str">
        <x:f>IF(F6="Complete","Green",IF(H6&lt;TODAY(),"Red",IF(H6-TODAY()&lt;=3,"Amber","Green")))</x:f>
        <x:v>Green</x:v>
      </x:c>
      <x:c r="M6" s="14" t="str">
        <x:v>Build</x:v>
      </x:c>
      <x:c r="N6" s="14" t="str">
        <x:v>Mapping and dedupe rules approved</x:v>
      </x:c>
    </x:row>
    <x:row r="7">
      <x:c r="A7" s="14" t="str">
        <x:v>SF-006</x:v>
      </x:c>
      <x:c r="B7" s="14" t="str">
        <x:v>Integration</x:v>
      </x:c>
      <x:c r="C7" s="14" t="str">
        <x:v>Configure email/calendar and marketing handoff</x:v>
      </x:c>
      <x:c r="D7" s="14" t="str">
        <x:v>Integration Lead</x:v>
      </x:c>
      <x:c r="E7" s="14" t="str">
        <x:v>High</x:v>
      </x:c>
      <x:c r="F7" s="14" t="str">
        <x:v>Complete</x:v>
      </x:c>
      <x:c r="G7" s="20" t="n">
        <x:v>46049</x:v>
      </x:c>
      <x:c r="H7" s="20" t="n">
        <x:v>46065</x:v>
      </x:c>
      <x:c r="I7" s="15" t="n">
        <x:v>1</x:v>
      </x:c>
      <x:c r="J7" s="14" t="str">
        <x:v>SF-003</x:v>
      </x:c>
      <x:c r="K7" s="14" t="n">
        <x:f>IF(F7="Complete",0,H7-TODAY())</x:f>
        <x:v>0</x:v>
      </x:c>
      <x:c r="L7" s="14" t="str">
        <x:f>IF(F7="Complete","Green",IF(H7&lt;TODAY(),"Red",IF(H7-TODAY()&lt;=3,"Amber","Green")))</x:f>
        <x:v>Green</x:v>
      </x:c>
      <x:c r="M7" s="14" t="str">
        <x:v>Build</x:v>
      </x:c>
      <x:c r="N7" s="14" t="str">
        <x:v>Interfaces validated</x:v>
      </x:c>
    </x:row>
    <x:row r="8">
      <x:c r="A8" s="14" t="str">
        <x:v>SF-007</x:v>
      </x:c>
      <x:c r="B8" s="14" t="str">
        <x:v>Migration</x:v>
      </x:c>
      <x:c r="C8" s="14" t="str">
        <x:v>Execute mock migration #1</x:v>
      </x:c>
      <x:c r="D8" s="14" t="str">
        <x:v>Data Lead</x:v>
      </x:c>
      <x:c r="E8" s="14" t="str">
        <x:v>Critical</x:v>
      </x:c>
      <x:c r="F8" s="14" t="str">
        <x:v>Complete</x:v>
      </x:c>
      <x:c r="G8" s="20" t="n">
        <x:v>46058</x:v>
      </x:c>
      <x:c r="H8" s="20" t="n">
        <x:v>46064</x:v>
      </x:c>
      <x:c r="I8" s="15" t="n">
        <x:v>1</x:v>
      </x:c>
      <x:c r="J8" s="14" t="str">
        <x:v>SF-005</x:v>
      </x:c>
      <x:c r="K8" s="14" t="n">
        <x:f>IF(F8="Complete",0,H8-TODAY())</x:f>
        <x:v>0</x:v>
      </x:c>
      <x:c r="L8" s="14" t="str">
        <x:f>IF(F8="Complete","Green",IF(H8&lt;TODAY(),"Red",IF(H8-TODAY()&lt;=3,"Amber","Green")))</x:f>
        <x:v>Green</x:v>
      </x:c>
      <x:c r="M8" s="14" t="str">
        <x:v>Test</x:v>
      </x:c>
      <x:c r="N8" s="14" t="str">
        <x:v>91% initial success</x:v>
      </x:c>
    </x:row>
    <x:row r="9">
      <x:c r="A9" s="14" t="str">
        <x:v>SF-008</x:v>
      </x:c>
      <x:c r="B9" s="14" t="str">
        <x:v>QA</x:v>
      </x:c>
      <x:c r="C9" s="14" t="str">
        <x:v>Execute system integration testing</x:v>
      </x:c>
      <x:c r="D9" s="14" t="str">
        <x:v>QA Lead</x:v>
      </x:c>
      <x:c r="E9" s="14" t="str">
        <x:v>Critical</x:v>
      </x:c>
      <x:c r="F9" s="14" t="str">
        <x:v>Complete</x:v>
      </x:c>
      <x:c r="G9" s="20" t="n">
        <x:v>46062</x:v>
      </x:c>
      <x:c r="H9" s="20" t="n">
        <x:v>46073</x:v>
      </x:c>
      <x:c r="I9" s="15" t="n">
        <x:v>1</x:v>
      </x:c>
      <x:c r="J9" s="14" t="str">
        <x:v>SF-004, SF-006</x:v>
      </x:c>
      <x:c r="K9" s="14" t="n">
        <x:f>IF(F9="Complete",0,H9-TODAY())</x:f>
        <x:v>0</x:v>
      </x:c>
      <x:c r="L9" s="14" t="str">
        <x:f>IF(F9="Complete","Green",IF(H9&lt;TODAY(),"Red",IF(H9-TODAY()&lt;=3,"Amber","Green")))</x:f>
        <x:v>Green</x:v>
      </x:c>
      <x:c r="M9" s="14" t="str">
        <x:v>Test</x:v>
      </x:c>
      <x:c r="N9" s="14" t="str">
        <x:v>Critical defects triaged</x:v>
      </x:c>
    </x:row>
    <x:row r="10">
      <x:c r="A10" s="14" t="str">
        <x:v>SF-009</x:v>
      </x:c>
      <x:c r="B10" s="14" t="str">
        <x:v>UAT</x:v>
      </x:c>
      <x:c r="C10" s="14" t="str">
        <x:v>Coordinate user acceptance testing</x:v>
      </x:c>
      <x:c r="D10" s="14" t="str">
        <x:v>Project Coordinator</x:v>
      </x:c>
      <x:c r="E10" s="14" t="str">
        <x:v>Critical</x:v>
      </x:c>
      <x:c r="F10" s="14" t="str">
        <x:v>Complete</x:v>
      </x:c>
      <x:c r="G10" s="20" t="n">
        <x:v>46076</x:v>
      </x:c>
      <x:c r="H10" s="20" t="n">
        <x:v>46087</x:v>
      </x:c>
      <x:c r="I10" s="15" t="n">
        <x:v>1</x:v>
      </x:c>
      <x:c r="J10" s="14" t="str">
        <x:v>SF-004, SF-007, SF-008</x:v>
      </x:c>
      <x:c r="K10" s="14" t="n">
        <x:f>IF(F10="Complete",0,H10-TODAY())</x:f>
        <x:v>0</x:v>
      </x:c>
      <x:c r="L10" s="14" t="str">
        <x:f>IF(F10="Complete","Green",IF(H10&lt;TODAY(),"Red",IF(H10-TODAY()&lt;=3,"Amber","Green")))</x:f>
        <x:v>Green</x:v>
      </x:c>
      <x:c r="M10" s="14" t="str">
        <x:v>UAT</x:v>
      </x:c>
      <x:c r="N10" s="14" t="str">
        <x:v>228 cases executed</x:v>
      </x:c>
    </x:row>
    <x:row r="11">
      <x:c r="A11" s="14" t="str">
        <x:v>SF-010</x:v>
      </x:c>
      <x:c r="B11" s="14" t="str">
        <x:v>Training</x:v>
      </x:c>
      <x:c r="C11" s="14" t="str">
        <x:v>Deliver role-based user training</x:v>
      </x:c>
      <x:c r="D11" s="14" t="str">
        <x:v>Change Lead</x:v>
      </x:c>
      <x:c r="E11" s="14" t="str">
        <x:v>High</x:v>
      </x:c>
      <x:c r="F11" s="14" t="str">
        <x:v>Complete</x:v>
      </x:c>
      <x:c r="G11" s="20" t="n">
        <x:v>46083</x:v>
      </x:c>
      <x:c r="H11" s="20" t="n">
        <x:v>46094</x:v>
      </x:c>
      <x:c r="I11" s="15" t="n">
        <x:v>1</x:v>
      </x:c>
      <x:c r="J11" s="14" t="str">
        <x:v>SF-009</x:v>
      </x:c>
      <x:c r="K11" s="14" t="n">
        <x:f>IF(F11="Complete",0,H11-TODAY())</x:f>
        <x:v>0</x:v>
      </x:c>
      <x:c r="L11" s="14" t="str">
        <x:f>IF(F11="Complete","Green",IF(H11&lt;TODAY(),"Red",IF(H11-TODAY()&lt;=3,"Amber","Green")))</x:f>
        <x:v>Green</x:v>
      </x:c>
      <x:c r="M11" s="14" t="str">
        <x:v>Enablement</x:v>
      </x:c>
      <x:c r="N11" s="14" t="str">
        <x:v>98% training completion</x:v>
      </x:c>
    </x:row>
    <x:row r="12">
      <x:c r="A12" s="14" t="str">
        <x:v>SF-011</x:v>
      </x:c>
      <x:c r="B12" s="14" t="str">
        <x:v>Cutover</x:v>
      </x:c>
      <x:c r="C12" s="14" t="str">
        <x:v>Execute production cutover</x:v>
      </x:c>
      <x:c r="D12" s="14" t="str">
        <x:v>Project Coordinator</x:v>
      </x:c>
      <x:c r="E12" s="14" t="str">
        <x:v>Critical</x:v>
      </x:c>
      <x:c r="F12" s="14" t="str">
        <x:v>Complete</x:v>
      </x:c>
      <x:c r="G12" s="20" t="n">
        <x:v>46097</x:v>
      </x:c>
      <x:c r="H12" s="20" t="n">
        <x:v>46101</x:v>
      </x:c>
      <x:c r="I12" s="15" t="n">
        <x:v>1</x:v>
      </x:c>
      <x:c r="J12" s="14" t="str">
        <x:v>SF-009, SF-010</x:v>
      </x:c>
      <x:c r="K12" s="14" t="n">
        <x:f>IF(F12="Complete",0,H12-TODAY())</x:f>
        <x:v>0</x:v>
      </x:c>
      <x:c r="L12" s="14" t="str">
        <x:f>IF(F12="Complete","Green",IF(H12&lt;TODAY(),"Red",IF(H12-TODAY()&lt;=3,"Amber","Green")))</x:f>
        <x:v>Green</x:v>
      </x:c>
      <x:c r="M12" s="14" t="str">
        <x:v>Go-Live</x:v>
      </x:c>
      <x:c r="N12" s="14" t="str">
        <x:v>Cutover checklist complete</x:v>
      </x:c>
    </x:row>
    <x:row r="13">
      <x:c r="A13" s="14" t="str">
        <x:v>SF-012</x:v>
      </x:c>
      <x:c r="B13" s="14" t="str">
        <x:v>Hypercare</x:v>
      </x:c>
      <x:c r="C13" s="14" t="str">
        <x:v>Monitor adoption, defects, and support</x:v>
      </x:c>
      <x:c r="D13" s="14" t="str">
        <x:v>Project Coordinator</x:v>
      </x:c>
      <x:c r="E13" s="14" t="str">
        <x:v>High</x:v>
      </x:c>
      <x:c r="F13" s="14" t="str">
        <x:v>Complete</x:v>
      </x:c>
      <x:c r="G13" s="20" t="n">
        <x:v>46104</x:v>
      </x:c>
      <x:c r="H13" s="20" t="n">
        <x:v>46115</x:v>
      </x:c>
      <x:c r="I13" s="15" t="n">
        <x:v>1</x:v>
      </x:c>
      <x:c r="J13" s="14" t="str">
        <x:v>SF-011</x:v>
      </x:c>
      <x:c r="K13" s="14" t="n">
        <x:f>IF(F13="Complete",0,H13-TODAY())</x:f>
        <x:v>0</x:v>
      </x:c>
      <x:c r="L13" s="14" t="str">
        <x:f>IF(F13="Complete","Green",IF(H13&lt;TODAY(),"Red",IF(H13-TODAY()&lt;=3,"Amber","Green")))</x:f>
        <x:v>Green</x:v>
      </x:c>
      <x:c r="M13" s="14" t="str">
        <x:v>Hypercare</x:v>
      </x:c>
      <x:c r="N13" s="14" t="str">
        <x:v>No open Sev-1/2 defects</x:v>
      </x:c>
    </x:row>
  </x:sheetData>
  <x:conditionalFormatting sqref="L2:L13">
    <x:cfRule type="expression" dxfId="0" priority="1">
      <x:formula>L2="Red"</x:formula>
    </x:cfRule>
    <x:cfRule type="expression" dxfId="1" priority="2">
      <x:formula>L2="Amber"</x:formula>
    </x:cfRule>
    <x:cfRule type="expression" dxfId="2" priority="3">
      <x:formula>L2="Green"</x:formula>
    </x:cfRule>
  </x:conditionalFormatting>
  <x:dataValidations count="2">
    <x:dataValidation type="list" sqref="E2:E13">
      <x:formula1>"Low,Medium,High,Critical"</x:formula1>
    </x:dataValidation>
    <x:dataValidation type="list" sqref="F2:F13">
      <x:formula1>"Not Started,In Progress,Blocked,Complete"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1" hidden="0" customWidth="1"/>
    <x:col min="4" max="4" width="11" hidden="0" customWidth="1"/>
    <x:col min="5" max="5" width="12" hidden="0" customWidth="1"/>
    <x:col min="6" max="6" width="15" hidden="0" customWidth="1"/>
    <x:col min="7" max="7" width="20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</x:cols>
  <x:sheetData>
    <x:row r="1">
      <x:c r="A1" s="8" t="str">
        <x:v>Object</x:v>
      </x:c>
      <x:c r="B1" s="8" t="str">
        <x:v>Source Records</x:v>
      </x:c>
      <x:c r="C1" s="8" t="str">
        <x:v>Loaded</x:v>
      </x:c>
      <x:c r="D1" s="8" t="str">
        <x:v>Rejected</x:v>
      </x:c>
      <x:c r="E1" s="8" t="str">
        <x:v>Success %</x:v>
      </x:c>
      <x:c r="F1" s="8" t="str">
        <x:v>Duplicate Rate %</x:v>
      </x:c>
      <x:c r="G1" s="8" t="str">
        <x:v>Required Field Pass %</x:v>
      </x:c>
      <x:c r="H1" s="8" t="str">
        <x:v>Owner</x:v>
      </x:c>
      <x:c r="I1" s="8" t="str">
        <x:v>Mock 1</x:v>
      </x:c>
      <x:c r="J1" s="8" t="str">
        <x:v>Mock 2</x:v>
      </x:c>
      <x:c r="K1" s="8" t="str">
        <x:v>Final</x:v>
      </x:c>
      <x:c r="L1" s="8" t="str">
        <x:v>Status</x:v>
      </x:c>
    </x:row>
    <x:row r="2">
      <x:c r="A2" s="14" t="str">
        <x:v>Accounts</x:v>
      </x:c>
      <x:c r="B2" s="14" t="n">
        <x:v>3200</x:v>
      </x:c>
      <x:c r="C2" s="14" t="n">
        <x:v>3184</x:v>
      </x:c>
      <x:c r="D2" s="14" t="n">
        <x:v>16</x:v>
      </x:c>
      <x:c r="E2" s="15" t="n">
        <x:f>IFERROR(C2/B2,0)</x:f>
        <x:v>0.995</x:v>
      </x:c>
      <x:c r="F2" s="15" t="n">
        <x:v>0.012</x:v>
      </x:c>
      <x:c r="G2" s="15" t="n">
        <x:v>0.996</x:v>
      </x:c>
      <x:c r="H2" s="14" t="str">
        <x:v>Data Lead</x:v>
      </x:c>
      <x:c r="I2" s="15" t="n">
        <x:v>0.94</x:v>
      </x:c>
      <x:c r="J2" s="15" t="n">
        <x:v>0.98</x:v>
      </x:c>
      <x:c r="K2" s="15" t="n">
        <x:v>0.995</x:v>
      </x:c>
      <x:c r="L2" s="14" t="str">
        <x:v>Complete</x:v>
      </x:c>
    </x:row>
    <x:row r="3">
      <x:c r="A3" s="14" t="str">
        <x:v>Contacts</x:v>
      </x:c>
      <x:c r="B3" s="14" t="n">
        <x:v>6900</x:v>
      </x:c>
      <x:c r="C3" s="14" t="n">
        <x:v>6858</x:v>
      </x:c>
      <x:c r="D3" s="14" t="n">
        <x:v>42</x:v>
      </x:c>
      <x:c r="E3" s="15" t="n">
        <x:f>IFERROR(C3/B3,0)</x:f>
        <x:v>0.9939130434782608</x:v>
      </x:c>
      <x:c r="F3" s="15" t="n">
        <x:v>0.018</x:v>
      </x:c>
      <x:c r="G3" s="15" t="n">
        <x:v>0.992</x:v>
      </x:c>
      <x:c r="H3" s="14" t="str">
        <x:v>Data Lead</x:v>
      </x:c>
      <x:c r="I3" s="15" t="n">
        <x:v>0.9</x:v>
      </x:c>
      <x:c r="J3" s="15" t="n">
        <x:v>0.97</x:v>
      </x:c>
      <x:c r="K3" s="15" t="n">
        <x:v>0.994</x:v>
      </x:c>
      <x:c r="L3" s="14" t="str">
        <x:v>Complete</x:v>
      </x:c>
    </x:row>
    <x:row r="4">
      <x:c r="A4" s="14" t="str">
        <x:v>Leads</x:v>
      </x:c>
      <x:c r="B4" s="14" t="n">
        <x:v>3100</x:v>
      </x:c>
      <x:c r="C4" s="14" t="n">
        <x:v>3078</x:v>
      </x:c>
      <x:c r="D4" s="14" t="n">
        <x:v>22</x:v>
      </x:c>
      <x:c r="E4" s="15" t="n">
        <x:f>IFERROR(C4/B4,0)</x:f>
        <x:v>0.9929032258064516</x:v>
      </x:c>
      <x:c r="F4" s="15" t="n">
        <x:v>0.021</x:v>
      </x:c>
      <x:c r="G4" s="15" t="n">
        <x:v>0.989</x:v>
      </x:c>
      <x:c r="H4" s="14" t="str">
        <x:v>Data Lead</x:v>
      </x:c>
      <x:c r="I4" s="15" t="n">
        <x:v>0.89</x:v>
      </x:c>
      <x:c r="J4" s="15" t="n">
        <x:v>0.96</x:v>
      </x:c>
      <x:c r="K4" s="15" t="n">
        <x:v>0.993</x:v>
      </x:c>
      <x:c r="L4" s="14" t="str">
        <x:v>Complete</x:v>
      </x:c>
    </x:row>
    <x:row r="5">
      <x:c r="A5" s="14" t="str">
        <x:v>Opportunities</x:v>
      </x:c>
      <x:c r="B5" s="14" t="n">
        <x:v>1650</x:v>
      </x:c>
      <x:c r="C5" s="14" t="n">
        <x:v>1643</x:v>
      </x:c>
      <x:c r="D5" s="14" t="n">
        <x:v>7</x:v>
      </x:c>
      <x:c r="E5" s="15" t="n">
        <x:f>IFERROR(C5/B5,0)</x:f>
        <x:v>0.9957575757575757</x:v>
      </x:c>
      <x:c r="F5" s="15" t="n">
        <x:v>0.005</x:v>
      </x:c>
      <x:c r="G5" s="15" t="n">
        <x:v>0.998</x:v>
      </x:c>
      <x:c r="H5" s="14" t="str">
        <x:v>Data Lead</x:v>
      </x:c>
      <x:c r="I5" s="15" t="n">
        <x:v>0.93</x:v>
      </x:c>
      <x:c r="J5" s="15" t="n">
        <x:v>0.99</x:v>
      </x:c>
      <x:c r="K5" s="15" t="n">
        <x:v>0.996</x:v>
      </x:c>
      <x:c r="L5" s="14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1" hidden="0" customWidth="1"/>
    <x:col min="7" max="7" width="16" hidden="0" customWidth="1"/>
    <x:col min="8" max="8" width="13" hidden="0" customWidth="1"/>
    <x:col min="9" max="9" width="14" hidden="0" customWidth="1"/>
    <x:col min="10" max="10" width="18" hidden="0" customWidth="1"/>
    <x:col min="11" max="11" width="12" hidden="0" customWidth="1"/>
  </x:cols>
  <x:sheetData>
    <x:row r="1">
      <x:c r="A1" s="8" t="str">
        <x:v>Area</x:v>
      </x:c>
      <x:c r="B1" s="8" t="str">
        <x:v>Cases Planned</x:v>
      </x:c>
      <x:c r="C1" s="8" t="str">
        <x:v>Cases Executed</x:v>
      </x:c>
      <x:c r="D1" s="8" t="str">
        <x:v>Passed</x:v>
      </x:c>
      <x:c r="E1" s="8" t="str">
        <x:v>Failed</x:v>
      </x:c>
      <x:c r="F1" s="8" t="str">
        <x:v>Pass %</x:v>
      </x:c>
      <x:c r="G1" s="8" t="str">
        <x:v>Critical Defects</x:v>
      </x:c>
      <x:c r="H1" s="8" t="str">
        <x:v>High Defects</x:v>
      </x:c>
      <x:c r="I1" s="8" t="str">
        <x:v>Medium/Low</x:v>
      </x:c>
      <x:c r="J1" s="8" t="str">
        <x:v>Retest Complete %</x:v>
      </x:c>
      <x:c r="K1" s="8" t="str">
        <x:v>Status</x:v>
      </x:c>
    </x:row>
    <x:row r="2">
      <x:c r="A2" s="14" t="str">
        <x:v>Lead Management</x:v>
      </x:c>
      <x:c r="B2" s="14" t="n">
        <x:v>40</x:v>
      </x:c>
      <x:c r="C2" s="14" t="n">
        <x:v>40</x:v>
      </x:c>
      <x:c r="D2" s="14" t="n">
        <x:v>40</x:v>
      </x:c>
      <x:c r="E2" s="14" t="n">
        <x:v>0</x:v>
      </x:c>
      <x:c r="F2" s="15" t="n">
        <x:f>IFERROR(D2/C2,0)</x:f>
        <x:v>1</x:v>
      </x:c>
      <x:c r="G2" s="14" t="n">
        <x:v>0</x:v>
      </x:c>
      <x:c r="H2" s="14" t="n">
        <x:v>0</x:v>
      </x:c>
      <x:c r="I2" s="14" t="n">
        <x:v>2</x:v>
      </x:c>
      <x:c r="J2" s="15" t="n">
        <x:v>1</x:v>
      </x:c>
      <x:c r="K2" s="14" t="str">
        <x:v>Complete</x:v>
      </x:c>
    </x:row>
    <x:row r="3">
      <x:c r="A3" s="14" t="str">
        <x:v>Account / Contact</x:v>
      </x:c>
      <x:c r="B3" s="14" t="n">
        <x:v>44</x:v>
      </x:c>
      <x:c r="C3" s="14" t="n">
        <x:v>44</x:v>
      </x:c>
      <x:c r="D3" s="14" t="n">
        <x:v>43</x:v>
      </x:c>
      <x:c r="E3" s="14" t="n">
        <x:v>1</x:v>
      </x:c>
      <x:c r="F3" s="15" t="n">
        <x:f>IFERROR(D3/C3,0)</x:f>
        <x:v>0.9772727272727273</x:v>
      </x:c>
      <x:c r="G3" s="14" t="n">
        <x:v>0</x:v>
      </x:c>
      <x:c r="H3" s="14" t="n">
        <x:v>1</x:v>
      </x:c>
      <x:c r="I3" s="14" t="n">
        <x:v>2</x:v>
      </x:c>
      <x:c r="J3" s="15" t="n">
        <x:v>1</x:v>
      </x:c>
      <x:c r="K3" s="14" t="str">
        <x:v>Complete</x:v>
      </x:c>
    </x:row>
    <x:row r="4">
      <x:c r="A4" s="14" t="str">
        <x:v>Opportunity Management</x:v>
      </x:c>
      <x:c r="B4" s="14" t="n">
        <x:v>52</x:v>
      </x:c>
      <x:c r="C4" s="14" t="n">
        <x:v>52</x:v>
      </x:c>
      <x:c r="D4" s="14" t="n">
        <x:v>51</x:v>
      </x:c>
      <x:c r="E4" s="14" t="n">
        <x:v>1</x:v>
      </x:c>
      <x:c r="F4" s="15" t="n">
        <x:f>IFERROR(D4/C4,0)</x:f>
        <x:v>0.9807692307692307</x:v>
      </x:c>
      <x:c r="G4" s="14" t="n">
        <x:v>0</x:v>
      </x:c>
      <x:c r="H4" s="14" t="n">
        <x:v>1</x:v>
      </x:c>
      <x:c r="I4" s="14" t="n">
        <x:v>3</x:v>
      </x:c>
      <x:c r="J4" s="15" t="n">
        <x:v>1</x:v>
      </x:c>
      <x:c r="K4" s="14" t="str">
        <x:v>Complete</x:v>
      </x:c>
    </x:row>
    <x:row r="5">
      <x:c r="A5" s="14" t="str">
        <x:v>Activities / Email</x:v>
      </x:c>
      <x:c r="B5" s="14" t="n">
        <x:v>32</x:v>
      </x:c>
      <x:c r="C5" s="14" t="n">
        <x:v>32</x:v>
      </x:c>
      <x:c r="D5" s="14" t="n">
        <x:v>32</x:v>
      </x:c>
      <x:c r="E5" s="14" t="n">
        <x:v>0</x:v>
      </x:c>
      <x:c r="F5" s="15" t="n">
        <x:f>IFERROR(D5/C5,0)</x:f>
        <x:v>1</x:v>
      </x:c>
      <x:c r="G5" s="14" t="n">
        <x:v>0</x:v>
      </x:c>
      <x:c r="H5" s="14" t="n">
        <x:v>0</x:v>
      </x:c>
      <x:c r="I5" s="14" t="n">
        <x:v>1</x:v>
      </x:c>
      <x:c r="J5" s="15" t="n">
        <x:v>1</x:v>
      </x:c>
      <x:c r="K5" s="14" t="str">
        <x:v>Complete</x:v>
      </x:c>
    </x:row>
    <x:row r="6">
      <x:c r="A6" s="14" t="str">
        <x:v>Reports / Dashboards</x:v>
      </x:c>
      <x:c r="B6" s="14" t="n">
        <x:v>28</x:v>
      </x:c>
      <x:c r="C6" s="14" t="n">
        <x:v>28</x:v>
      </x:c>
      <x:c r="D6" s="14" t="n">
        <x:v>27</x:v>
      </x:c>
      <x:c r="E6" s="14" t="n">
        <x:v>1</x:v>
      </x:c>
      <x:c r="F6" s="15" t="n">
        <x:f>IFERROR(D6/C6,0)</x:f>
        <x:v>0.9642857142857143</x:v>
      </x:c>
      <x:c r="G6" s="14" t="n">
        <x:v>0</x:v>
      </x:c>
      <x:c r="H6" s="14" t="n">
        <x:v>1</x:v>
      </x:c>
      <x:c r="I6" s="14" t="n">
        <x:v>2</x:v>
      </x:c>
      <x:c r="J6" s="15" t="n">
        <x:v>1</x:v>
      </x:c>
      <x:c r="K6" s="14" t="str">
        <x:v>Complete</x:v>
      </x:c>
    </x:row>
    <x:row r="7">
      <x:c r="A7" s="14" t="str">
        <x:v>Permissions / Roles</x:v>
      </x:c>
      <x:c r="B7" s="14" t="n">
        <x:v>32</x:v>
      </x:c>
      <x:c r="C7" s="14" t="n">
        <x:v>32</x:v>
      </x:c>
      <x:c r="D7" s="14" t="n">
        <x:v>31</x:v>
      </x:c>
      <x:c r="E7" s="14" t="n">
        <x:v>1</x:v>
      </x:c>
      <x:c r="F7" s="15" t="n">
        <x:f>IFERROR(D7/C7,0)</x:f>
        <x:v>0.96875</x:v>
      </x:c>
      <x:c r="G7" s="14" t="n">
        <x:v>0</x:v>
      </x:c>
      <x:c r="H7" s="14" t="n">
        <x:v>1</x:v>
      </x:c>
      <x:c r="I7" s="14" t="n">
        <x:v>1</x:v>
      </x:c>
      <x:c r="J7" s="15" t="n">
        <x:v>1</x:v>
      </x:c>
      <x:c r="K7" s="14" t="str">
        <x:v>Complete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22" hidden="0" customWidth="1"/>
    <x:col min="8" max="8" width="22" hidden="0" customWidth="1"/>
    <x:col min="9" max="9" width="12" hidden="0" customWidth="1"/>
    <x:col min="10" max="10" width="12" hidden="0" customWidth="1"/>
  </x:cols>
  <x:sheetData>
    <x:row r="1">
      <x:c r="A1" s="8" t="str">
        <x:v>Role</x:v>
      </x:c>
      <x:c r="B1" s="8" t="str">
        <x:v>Target Users</x:v>
      </x:c>
      <x:c r="C1" s="8" t="str">
        <x:v>Trained</x:v>
      </x:c>
      <x:c r="D1" s="8" t="str">
        <x:v>Training %</x:v>
      </x:c>
      <x:c r="E1" s="8" t="str">
        <x:v>Active Users</x:v>
      </x:c>
      <x:c r="F1" s="8" t="str">
        <x:v>Login Adoption %</x:v>
      </x:c>
      <x:c r="G1" s="8" t="str">
        <x:v>Tasks Completed in CRM %</x:v>
      </x:c>
      <x:c r="H1" s="8" t="str">
        <x:v>Avg Support Tickets/User</x:v>
      </x:c>
      <x:c r="I1" s="8" t="str">
        <x:v>Satisfaction</x:v>
      </x:c>
      <x:c r="J1" s="8" t="str">
        <x:v>Status</x:v>
      </x:c>
    </x:row>
    <x:row r="2">
      <x:c r="A2" s="14" t="str">
        <x:v>Sales Reps</x:v>
      </x:c>
      <x:c r="B2" s="14" t="n">
        <x:v>95</x:v>
      </x:c>
      <x:c r="C2" s="14" t="n">
        <x:v>94</x:v>
      </x:c>
      <x:c r="D2" s="15" t="n">
        <x:f>IFERROR(C2/B2,0)</x:f>
        <x:v>0.9894736842105263</x:v>
      </x:c>
      <x:c r="E2" s="15" t="n">
        <x:v>93</x:v>
      </x:c>
      <x:c r="F2" s="15" t="n">
        <x:f>IFERROR(E2/B2,0)</x:f>
        <x:v>0.9789473684210527</x:v>
      </x:c>
      <x:c r="G2" s="15" t="n">
        <x:v>0.96</x:v>
      </x:c>
      <x:c r="H2" s="14" t="n">
        <x:v>0.08</x:v>
      </x:c>
      <x:c r="I2" s="14" t="n">
        <x:v>4.6</x:v>
      </x:c>
      <x:c r="J2" s="14" t="str">
        <x:v>Adopted</x:v>
      </x:c>
    </x:row>
    <x:row r="3">
      <x:c r="A3" s="14" t="str">
        <x:v>Sales Managers</x:v>
      </x:c>
      <x:c r="B3" s="14" t="n">
        <x:v>18</x:v>
      </x:c>
      <x:c r="C3" s="14" t="n">
        <x:v>18</x:v>
      </x:c>
      <x:c r="D3" s="15" t="n">
        <x:f>IFERROR(C3/B3,0)</x:f>
        <x:v>1</x:v>
      </x:c>
      <x:c r="E3" s="15" t="n">
        <x:v>18</x:v>
      </x:c>
      <x:c r="F3" s="15" t="n">
        <x:f>IFERROR(E3/B3,0)</x:f>
        <x:v>1</x:v>
      </x:c>
      <x:c r="G3" s="15" t="n">
        <x:v>0.98</x:v>
      </x:c>
      <x:c r="H3" s="14" t="n">
        <x:v>0.05</x:v>
      </x:c>
      <x:c r="I3" s="14" t="n">
        <x:v>4.7</x:v>
      </x:c>
      <x:c r="J3" s="14" t="str">
        <x:v>Adopted</x:v>
      </x:c>
    </x:row>
    <x:row r="4">
      <x:c r="A4" s="14" t="str">
        <x:v>Marketing</x:v>
      </x:c>
      <x:c r="B4" s="14" t="n">
        <x:v>15</x:v>
      </x:c>
      <x:c r="C4" s="14" t="n">
        <x:v>15</x:v>
      </x:c>
      <x:c r="D4" s="15" t="n">
        <x:f>IFERROR(C4/B4,0)</x:f>
        <x:v>1</x:v>
      </x:c>
      <x:c r="E4" s="15" t="n">
        <x:v>15</x:v>
      </x:c>
      <x:c r="F4" s="15" t="n">
        <x:f>IFERROR(E4/B4,0)</x:f>
        <x:v>1</x:v>
      </x:c>
      <x:c r="G4" s="15" t="n">
        <x:v>0.93</x:v>
      </x:c>
      <x:c r="H4" s="14" t="n">
        <x:v>0.09</x:v>
      </x:c>
      <x:c r="I4" s="14" t="n">
        <x:v>4.5</x:v>
      </x:c>
      <x:c r="J4" s="14" t="str">
        <x:v>Adopted</x:v>
      </x:c>
    </x:row>
    <x:row r="5">
      <x:c r="A5" s="14" t="str">
        <x:v>Operations</x:v>
      </x:c>
      <x:c r="B5" s="14" t="n">
        <x:v>12</x:v>
      </x:c>
      <x:c r="C5" s="14" t="n">
        <x:v>11</x:v>
      </x:c>
      <x:c r="D5" s="15" t="n">
        <x:f>IFERROR(C5/B5,0)</x:f>
        <x:v>0.9166666666666666</x:v>
      </x:c>
      <x:c r="E5" s="15" t="n">
        <x:v>12</x:v>
      </x:c>
      <x:c r="F5" s="15" t="n">
        <x:f>IFERROR(E5/B5,0)</x:f>
        <x:v>1</x:v>
      </x:c>
      <x:c r="G5" s="15" t="n">
        <x:v>0.95</x:v>
      </x:c>
      <x:c r="H5" s="14" t="n">
        <x:v>0.07</x:v>
      </x:c>
      <x:c r="I5" s="14" t="n">
        <x:v>4.6</x:v>
      </x:c>
      <x:c r="J5" s="14" t="str">
        <x:v>Adopted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40" hidden="0" customWidth="1"/>
    <x:col min="4" max="4" width="10" hidden="0" customWidth="1"/>
    <x:col min="5" max="5" width="12" hidden="0" customWidth="1"/>
    <x:col min="6" max="6" width="9" hidden="0" customWidth="1"/>
    <x:col min="7" max="7" width="20" hidden="0" customWidth="1"/>
    <x:col min="8" max="8" width="44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>
      <x:c r="A1" s="8" t="str">
        <x:v>RAID ID</x:v>
      </x:c>
      <x:c r="B1" s="8" t="str">
        <x:v>Type</x:v>
      </x:c>
      <x:c r="C1" s="8" t="str">
        <x:v>Description</x:v>
      </x:c>
      <x:c r="D1" s="8" t="str">
        <x:v>Impact</x:v>
      </x:c>
      <x:c r="E1" s="8" t="str">
        <x:v>Probability</x:v>
      </x:c>
      <x:c r="F1" s="8" t="str">
        <x:v>Score</x:v>
      </x:c>
      <x:c r="G1" s="8" t="str">
        <x:v>Owner</x:v>
      </x:c>
      <x:c r="H1" s="8" t="str">
        <x:v>Response / Mitigation</x:v>
      </x:c>
      <x:c r="I1" s="8" t="str">
        <x:v>Target Date</x:v>
      </x:c>
      <x:c r="J1" s="8" t="str">
        <x:v>Status</x:v>
      </x:c>
      <x:c r="K1" s="8" t="str">
        <x:v>Escalation</x:v>
      </x:c>
      <x:c r="L1" s="8" t="str">
        <x:v>Days to Target</x:v>
      </x:c>
      <x:c r="M1" s="8" t="str">
        <x:v>Risk Level</x:v>
      </x:c>
    </x:row>
    <x:row r="2">
      <x:c r="A2" s="14" t="str">
        <x:v>R-01</x:v>
      </x:c>
      <x:c r="B2" s="14" t="str">
        <x:v>Risk</x:v>
      </x:c>
      <x:c r="C2" s="14" t="str">
        <x:v>Legacy CRM data quality may reduce migration accuracy</x:v>
      </x:c>
      <x:c r="D2" s="14" t="n">
        <x:v>5</x:v>
      </x:c>
      <x:c r="E2" s="14" t="n">
        <x:v>3</x:v>
      </x:c>
      <x:c r="F2" s="14" t="n">
        <x:f>D2*E2</x:f>
        <x:v>15</x:v>
      </x:c>
      <x:c r="G2" s="14" t="str">
        <x:v>Data Lead</x:v>
      </x:c>
      <x:c r="H2" s="14" t="str">
        <x:v>Profile, cleanse, dedupe, and execute two mock migrations</x:v>
      </x:c>
      <x:c r="I2" s="20" t="n">
        <x:v>46091</x:v>
      </x:c>
      <x:c r="J2" s="14" t="str">
        <x:v>Closed</x:v>
      </x:c>
      <x:c r="K2" s="14" t="str">
        <x:v>Yes</x:v>
      </x:c>
      <x:c r="L2" s="14" t="n">
        <x:f>IF(OR(J2="Closed",J2="Complete",J2="Validated"),0,I2-TODAY())</x:f>
        <x:v>0</x:v>
      </x:c>
      <x:c r="M2" s="14" t="str">
        <x:f>IF(F2&gt;=15,"Critical",IF(F2&gt;=10,"High",IF(F2&gt;=5,"Medium","Low")))</x:f>
        <x:v>Critical</x:v>
      </x:c>
    </x:row>
    <x:row r="3">
      <x:c r="A3" s="14" t="str">
        <x:v>R-02</x:v>
      </x:c>
      <x:c r="B3" s="14" t="str">
        <x:v>Risk</x:v>
      </x:c>
      <x:c r="C3" s="14" t="str">
        <x:v>User adoption may lag after go-live</x:v>
      </x:c>
      <x:c r="D3" s="14" t="n">
        <x:v>4</x:v>
      </x:c>
      <x:c r="E3" s="14" t="n">
        <x:v>3</x:v>
      </x:c>
      <x:c r="F3" s="14" t="n">
        <x:f>D3*E3</x:f>
        <x:v>12</x:v>
      </x:c>
      <x:c r="G3" s="14" t="str">
        <x:v>Change Lead</x:v>
      </x:c>
      <x:c r="H3" s="14" t="str">
        <x:v>Role-based training, champions, office hours, adoption dashboard</x:v>
      </x:c>
      <x:c r="I3" s="20" t="n">
        <x:v>46112</x:v>
      </x:c>
      <x:c r="J3" s="14" t="str">
        <x:v>Closed</x:v>
      </x:c>
      <x:c r="K3" s="14" t="str">
        <x:v>No</x:v>
      </x:c>
      <x:c r="L3" s="14" t="n">
        <x:f>IF(OR(J3="Closed",J3="Complete",J3="Validated"),0,I3-TODAY())</x:f>
        <x:v>0</x:v>
      </x:c>
      <x:c r="M3" s="14" t="str">
        <x:f>IF(F3&gt;=15,"Critical",IF(F3&gt;=10,"High",IF(F3&gt;=5,"Medium","Low")))</x:f>
        <x:v>High</x:v>
      </x:c>
    </x:row>
    <x:row r="4">
      <x:c r="A4" s="14" t="str">
        <x:v>R-03</x:v>
      </x:c>
      <x:c r="B4" s="14" t="str">
        <x:v>Risk</x:v>
      </x:c>
      <x:c r="C4" s="14" t="str">
        <x:v>Permission model may expose records incorrectly</x:v>
      </x:c>
      <x:c r="D4" s="14" t="n">
        <x:v>5</x:v>
      </x:c>
      <x:c r="E4" s="14" t="n">
        <x:v>2</x:v>
      </x:c>
      <x:c r="F4" s="14" t="n">
        <x:f>D4*E4</x:f>
        <x:v>10</x:v>
      </x:c>
      <x:c r="G4" s="14" t="str">
        <x:v>Solution Architect</x:v>
      </x:c>
      <x:c r="H4" s="14" t="str">
        <x:v>Role hierarchy review and negative-access test cases</x:v>
      </x:c>
      <x:c r="I4" s="20" t="n">
        <x:v>46087</x:v>
      </x:c>
      <x:c r="J4" s="14" t="str">
        <x:v>Closed</x:v>
      </x:c>
      <x:c r="K4" s="14" t="str">
        <x:v>Yes</x:v>
      </x:c>
      <x:c r="L4" s="14" t="n">
        <x:f>IF(OR(J4="Closed",J4="Complete",J4="Validated"),0,I4-TODAY())</x:f>
        <x:v>0</x:v>
      </x:c>
      <x:c r="M4" s="14" t="str">
        <x:f>IF(F4&gt;=15,"Critical",IF(F4&gt;=10,"High",IF(F4&gt;=5,"Medium","Low")))</x:f>
        <x:v>High</x:v>
      </x:c>
    </x:row>
    <x:row r="5">
      <x:c r="A5" s="14" t="str">
        <x:v>I-01</x:v>
      </x:c>
      <x:c r="B5" s="14" t="str">
        <x:v>Issue</x:v>
      </x:c>
      <x:c r="C5" s="14" t="str">
        <x:v>Initial migration produced duplicate contacts</x:v>
      </x:c>
      <x:c r="D5" s="14" t="n">
        <x:v>5</x:v>
      </x:c>
      <x:c r="E5" s="14" t="n">
        <x:v>4</x:v>
      </x:c>
      <x:c r="F5" s="14" t="n">
        <x:f>D5*E5</x:f>
        <x:v>20</x:v>
      </x:c>
      <x:c r="G5" s="14" t="str">
        <x:v>Data Lead</x:v>
      </x:c>
      <x:c r="H5" s="14" t="str">
        <x:v>Adjust matching rules, cleanse source, rerun mock migration</x:v>
      </x:c>
      <x:c r="I5" s="20" t="n">
        <x:v>46071</x:v>
      </x:c>
      <x:c r="J5" s="14" t="str">
        <x:v>Closed</x:v>
      </x:c>
      <x:c r="K5" s="14" t="str">
        <x:v>Yes</x:v>
      </x:c>
      <x:c r="L5" s="14" t="n">
        <x:f>IF(OR(J5="Closed",J5="Complete",J5="Validated"),0,I5-TODAY())</x:f>
        <x:v>0</x:v>
      </x:c>
      <x:c r="M5" s="14" t="str">
        <x:f>IF(F5&gt;=15,"Critical",IF(F5&gt;=10,"High",IF(F5&gt;=5,"Medium","Low")))</x:f>
        <x:v>Critical</x:v>
      </x:c>
    </x:row>
    <x:row r="6">
      <x:c r="A6" s="14" t="str">
        <x:v>D-01</x:v>
      </x:c>
      <x:c r="B6" s="14" t="str">
        <x:v>Dependency</x:v>
      </x:c>
      <x:c r="C6" s="14" t="str">
        <x:v>Business UAT sign-off required before cutover</x:v>
      </x:c>
      <x:c r="D6" s="14" t="n">
        <x:v>5</x:v>
      </x:c>
      <x:c r="E6" s="14" t="n">
        <x:v>4</x:v>
      </x:c>
      <x:c r="F6" s="14" t="n">
        <x:f>D6*E6</x:f>
        <x:v>20</x:v>
      </x:c>
      <x:c r="G6" s="14" t="str">
        <x:v>Project Coordinator</x:v>
      </x:c>
      <x:c r="H6" s="14" t="str">
        <x:v>Daily UAT triage and formal sign-off checklist</x:v>
      </x:c>
      <x:c r="I6" s="20" t="n">
        <x:v>46087</x:v>
      </x:c>
      <x:c r="J6" s="14" t="str">
        <x:v>Complete</x:v>
      </x:c>
      <x:c r="K6" s="14" t="str">
        <x:v>Yes</x:v>
      </x:c>
      <x:c r="L6" s="14" t="n">
        <x:f>IF(OR(J6="Closed",J6="Complete",J6="Validated"),0,I6-TODAY())</x:f>
        <x:v>0</x:v>
      </x:c>
      <x:c r="M6" s="14" t="str">
        <x:f>IF(F6&gt;=15,"Critical",IF(F6&gt;=10,"High",IF(F6&gt;=5,"Medium","Low")))</x:f>
        <x:v>Critical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34" hidden="0" customWidth="1"/>
    <x:col min="7" max="7" width="20" hidden="0" customWidth="1"/>
    <x:col min="8" max="8" width="12" hidden="0" customWidth="1"/>
    <x:col min="9" max="9" width="20" hidden="0" customWidth="1"/>
  </x:cols>
  <x:sheetData>
    <x:row r="1">
      <x:c r="A1" s="8" t="str">
        <x:v>Milestone</x:v>
      </x:c>
      <x:c r="B1" s="8" t="str">
        <x:v>Baseline Date</x:v>
      </x:c>
      <x:c r="C1" s="8" t="str">
        <x:v>Actual Date</x:v>
      </x:c>
      <x:c r="D1" s="8" t="str">
        <x:v>Status</x:v>
      </x:c>
      <x:c r="E1" s="8" t="str">
        <x:v>Days Variance</x:v>
      </x:c>
      <x:c r="F1" s="8" t="str">
        <x:v>Exit Criteria</x:v>
      </x:c>
      <x:c r="G1" s="8" t="str">
        <x:v>Owner</x:v>
      </x:c>
      <x:c r="H1" s="8" t="str">
        <x:v>On-Time?</x:v>
      </x:c>
      <x:c r="I1" s="8" t="str">
        <x:v>Schedule Performance</x:v>
      </x:c>
    </x:row>
    <x:row r="2">
      <x:c r="A2" s="14" t="str">
        <x:v>Charter Approved</x:v>
      </x:c>
      <x:c r="B2" s="20" t="n">
        <x:v>46029</x:v>
      </x:c>
      <x:c r="C2" s="20" t="n">
        <x:v>46029</x:v>
      </x:c>
      <x:c r="D2" s="14" t="str">
        <x:v>Complete</x:v>
      </x:c>
      <x:c r="E2" s="14" t="n">
        <x:f>IF(C2="","",C2-B2)</x:f>
        <x:v>0</x:v>
      </x:c>
      <x:c r="F2" s="14" t="str">
        <x:v>Sponsor approval</x:v>
      </x:c>
      <x:c r="G2" s="14" t="str">
        <x:v>Project Coordinator</x:v>
      </x:c>
      <x:c r="H2" s="14" t="str">
        <x:f>IF(C2="","Pending",IF(C2&lt;=B2,"Yes","No"))</x:f>
        <x:v>Yes</x:v>
      </x:c>
      <x:c r="I2" s="14" t="str">
        <x:f>IF(C2="","",IF(E2&lt;=0,"On/Ahead",IF(E2&lt;=2,"Minor Delay","Delayed")))</x:f>
        <x:v>On/Ahead</x:v>
      </x:c>
    </x:row>
    <x:row r="3">
      <x:c r="A3" s="14" t="str">
        <x:v>Requirements Baseline</x:v>
      </x:c>
      <x:c r="B3" s="20" t="n">
        <x:v>46038</x:v>
      </x:c>
      <x:c r="C3" s="20" t="n">
        <x:v>46038</x:v>
      </x:c>
      <x:c r="D3" s="14" t="str">
        <x:v>Complete</x:v>
      </x:c>
      <x:c r="E3" s="14" t="n">
        <x:f>IF(C3="","",C3-B3)</x:f>
        <x:v>0</x:v>
      </x:c>
      <x:c r="F3" s="14" t="str">
        <x:v>Requirements signed off</x:v>
      </x:c>
      <x:c r="G3" s="14" t="str">
        <x:v>Business Analyst</x:v>
      </x:c>
      <x:c r="H3" s="14" t="str">
        <x:f>IF(C3="","Pending",IF(C3&lt;=B3,"Yes","No"))</x:f>
        <x:v>Yes</x:v>
      </x:c>
      <x:c r="I3" s="14" t="str">
        <x:f>IF(C3="","",IF(E3&lt;=0,"On/Ahead",IF(E3&lt;=2,"Minor Delay","Delayed")))</x:f>
        <x:v>On/Ahead</x:v>
      </x:c>
    </x:row>
    <x:row r="4">
      <x:c r="A4" s="14" t="str">
        <x:v>Solution Design Approved</x:v>
      </x:c>
      <x:c r="B4" s="20" t="n">
        <x:v>46045</x:v>
      </x:c>
      <x:c r="C4" s="20" t="n">
        <x:v>46046</x:v>
      </x:c>
      <x:c r="D4" s="14" t="str">
        <x:v>Complete</x:v>
      </x:c>
      <x:c r="E4" s="14" t="n">
        <x:f>IF(C4="","",C4-B4)</x:f>
        <x:v>1</x:v>
      </x:c>
      <x:c r="F4" s="14" t="str">
        <x:v>Architecture and data model approved</x:v>
      </x:c>
      <x:c r="G4" s="14" t="str">
        <x:v>Solution Architect</x:v>
      </x:c>
      <x:c r="H4" s="14" t="str">
        <x:f>IF(C4="","Pending",IF(C4&lt;=B4,"Yes","No"))</x:f>
        <x:v>No</x:v>
      </x:c>
      <x:c r="I4" s="14" t="str">
        <x:f>IF(C4="","",IF(E4&lt;=0,"On/Ahead",IF(E4&lt;=2,"Minor Delay","Delayed")))</x:f>
        <x:v>Minor Delay</x:v>
      </x:c>
    </x:row>
    <x:row r="5">
      <x:c r="A5" s="14" t="str">
        <x:v>Build Complete</x:v>
      </x:c>
      <x:c r="B5" s="20" t="n">
        <x:v>46065</x:v>
      </x:c>
      <x:c r="C5" s="20" t="n">
        <x:v>46065</x:v>
      </x:c>
      <x:c r="D5" s="14" t="str">
        <x:v>Complete</x:v>
      </x:c>
      <x:c r="E5" s="14" t="n">
        <x:f>IF(C5="","",C5-B5)</x:f>
        <x:v>0</x:v>
      </x:c>
      <x:c r="F5" s="14" t="str">
        <x:v>Configuration and integrations complete</x:v>
      </x:c>
      <x:c r="G5" s="14" t="str">
        <x:v>Salesforce Admin</x:v>
      </x:c>
      <x:c r="H5" s="14" t="str">
        <x:f>IF(C5="","Pending",IF(C5&lt;=B5,"Yes","No"))</x:f>
        <x:v>Yes</x:v>
      </x:c>
      <x:c r="I5" s="14" t="str">
        <x:f>IF(C5="","",IF(E5&lt;=0,"On/Ahead",IF(E5&lt;=2,"Minor Delay","Delayed")))</x:f>
        <x:v>On/Ahead</x:v>
      </x:c>
    </x:row>
    <x:row r="6">
      <x:c r="A6" s="14" t="str">
        <x:v>UAT Sign-Off</x:v>
      </x:c>
      <x:c r="B6" s="20" t="n">
        <x:v>46087</x:v>
      </x:c>
      <x:c r="C6" s="20" t="n">
        <x:v>46087</x:v>
      </x:c>
      <x:c r="D6" s="14" t="str">
        <x:v>Complete</x:v>
      </x:c>
      <x:c r="E6" s="14" t="n">
        <x:f>IF(C6="","",C6-B6)</x:f>
        <x:v>0</x:v>
      </x:c>
      <x:c r="F6" s="14" t="str">
        <x:v>Business approval</x:v>
      </x:c>
      <x:c r="G6" s="14" t="str">
        <x:v>Project Coordinator</x:v>
      </x:c>
      <x:c r="H6" s="14" t="str">
        <x:f>IF(C6="","Pending",IF(C6&lt;=B6,"Yes","No"))</x:f>
        <x:v>Yes</x:v>
      </x:c>
      <x:c r="I6" s="14" t="str">
        <x:f>IF(C6="","",IF(E6&lt;=0,"On/Ahead",IF(E6&lt;=2,"Minor Delay","Delayed")))</x:f>
        <x:v>On/Ahead</x:v>
      </x:c>
    </x:row>
    <x:row r="7">
      <x:c r="A7" s="14" t="str">
        <x:v>Production Go-Live</x:v>
      </x:c>
      <x:c r="B7" s="20" t="n">
        <x:v>46101</x:v>
      </x:c>
      <x:c r="C7" s="20" t="n">
        <x:v>46101</x:v>
      </x:c>
      <x:c r="D7" s="14" t="str">
        <x:v>Complete</x:v>
      </x:c>
      <x:c r="E7" s="14" t="n">
        <x:f>IF(C7="","",C7-B7)</x:f>
        <x:v>0</x:v>
      </x:c>
      <x:c r="F7" s="14" t="str">
        <x:v>Cutover validated</x:v>
      </x:c>
      <x:c r="G7" s="14" t="str">
        <x:v>Project Coordinator</x:v>
      </x:c>
      <x:c r="H7" s="14" t="str">
        <x:f>IF(C7="","Pending",IF(C7&lt;=B7,"Yes","No"))</x:f>
        <x:v>Yes</x:v>
      </x:c>
      <x:c r="I7" s="14" t="str">
        <x:f>IF(C7="","",IF(E7&lt;=0,"On/Ahead",IF(E7&lt;=2,"Minor Delay","Delayed")))</x:f>
        <x:v>On/Ahead</x:v>
      </x:c>
    </x:row>
    <x:row r="8">
      <x:c r="A8" s="14" t="str">
        <x:v>Hypercare Exit</x:v>
      </x:c>
      <x:c r="B8" s="20" t="n">
        <x:v>46115</x:v>
      </x:c>
      <x:c r="C8" s="20" t="n">
        <x:v>46115</x:v>
      </x:c>
      <x:c r="D8" s="14" t="str">
        <x:v>Complete</x:v>
      </x:c>
      <x:c r="E8" s="14" t="n">
        <x:f>IF(C8="","",C8-B8)</x:f>
        <x:v>0</x:v>
      </x:c>
      <x:c r="F8" s="14" t="str">
        <x:v>No Sev-1/2 open defects</x:v>
      </x:c>
      <x:c r="G8" s="14" t="str">
        <x:v>Project Coordinator</x:v>
      </x:c>
      <x:c r="H8" s="14" t="str">
        <x:f>IF(C8="","Pending",IF(C8&lt;=B8,"Yes","No"))</x:f>
        <x:v>Yes</x:v>
      </x:c>
      <x:c r="I8" s="14" t="str">
        <x:f>IF(C8="","",IF(E8&lt;=0,"On/Ahead",IF(E8&lt;=2,"Minor Delay","Delayed")))</x:f>
        <x:v>On/Ahead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22" hidden="0" customWidth="1"/>
    <x:col min="7" max="7" width="36" hidden="0" customWidth="1"/>
  </x:cols>
  <x:sheetData>
    <x:row r="1">
      <x:c r="A1" s="8" t="str">
        <x:v>Category</x:v>
      </x:c>
      <x:c r="B1" s="8" t="str">
        <x:v>Baseline Budget</x:v>
      </x:c>
      <x:c r="C1" s="8" t="str">
        <x:v>Actual Cost</x:v>
      </x:c>
      <x:c r="D1" s="8" t="str">
        <x:v>Variance</x:v>
      </x:c>
      <x:c r="E1" s="8" t="str">
        <x:v>Variance %</x:v>
      </x:c>
      <x:c r="F1" s="8" t="str">
        <x:v>Forecast at Completion</x:v>
      </x:c>
      <x:c r="G1" s="8" t="str">
        <x:v>Notes</x:v>
      </x:c>
    </x:row>
    <x:row r="2">
      <x:c r="A2" s="14" t="str">
        <x:v>Discovery &amp; Design</x:v>
      </x:c>
      <x:c r="B2" s="38" t="n">
        <x:v>22000</x:v>
      </x:c>
      <x:c r="C2" s="38" t="n">
        <x:v>21400</x:v>
      </x:c>
      <x:c r="D2" s="38" t="n">
        <x:f>B2-C2</x:f>
        <x:v>600</x:v>
      </x:c>
      <x:c r="E2" s="15" t="n">
        <x:f>IFERROR(D2/B2,0)</x:f>
        <x:v>0.02727272727272727</x:v>
      </x:c>
      <x:c r="F2" s="38" t="n">
        <x:f>C2</x:f>
        <x:v>21400</x:v>
      </x:c>
      <x:c r="G2" s="14" t="str">
        <x:v>Within plan</x:v>
      </x:c>
    </x:row>
    <x:row r="3">
      <x:c r="A3" s="14" t="str">
        <x:v>Salesforce Configuration</x:v>
      </x:c>
      <x:c r="B3" s="38" t="n">
        <x:v>36000</x:v>
      </x:c>
      <x:c r="C3" s="38" t="n">
        <x:v>35450</x:v>
      </x:c>
      <x:c r="D3" s="38" t="n">
        <x:f>B3-C3</x:f>
        <x:v>550</x:v>
      </x:c>
      <x:c r="E3" s="15" t="n">
        <x:f>IFERROR(D3/B3,0)</x:f>
        <x:v>0.015277777777777777</x:v>
      </x:c>
      <x:c r="F3" s="38" t="n">
        <x:f>C3</x:f>
        <x:v>35450</x:v>
      </x:c>
      <x:c r="G3" s="14" t="str">
        <x:v>Below baseline</x:v>
      </x:c>
    </x:row>
    <x:row r="4">
      <x:c r="A4" s="14" t="str">
        <x:v>Data Migration</x:v>
      </x:c>
      <x:c r="B4" s="38" t="n">
        <x:v>24000</x:v>
      </x:c>
      <x:c r="C4" s="38" t="n">
        <x:v>25800</x:v>
      </x:c>
      <x:c r="D4" s="38" t="n">
        <x:f>B4-C4</x:f>
        <x:v>-1800</x:v>
      </x:c>
      <x:c r="E4" s="15" t="n">
        <x:f>IFERROR(D4/B4,0)</x:f>
        <x:v>-0.075</x:v>
      </x:c>
      <x:c r="F4" s="38" t="n">
        <x:f>C4</x:f>
        <x:v>25800</x:v>
      </x:c>
      <x:c r="G4" s="14" t="str">
        <x:v>Extra cleansing and rerun effort</x:v>
      </x:c>
    </x:row>
    <x:row r="5">
      <x:c r="A5" s="14" t="str">
        <x:v>Integrations</x:v>
      </x:c>
      <x:c r="B5" s="38" t="n">
        <x:v>18000</x:v>
      </x:c>
      <x:c r="C5" s="38" t="n">
        <x:v>17600</x:v>
      </x:c>
      <x:c r="D5" s="38" t="n">
        <x:f>B5-C5</x:f>
        <x:v>400</x:v>
      </x:c>
      <x:c r="E5" s="15" t="n">
        <x:f>IFERROR(D5/B5,0)</x:f>
        <x:v>0.022222222222222223</x:v>
      </x:c>
      <x:c r="F5" s="38" t="n">
        <x:f>C5</x:f>
        <x:v>17600</x:v>
      </x:c>
      <x:c r="G5" s="14" t="str">
        <x:v>Within plan</x:v>
      </x:c>
    </x:row>
    <x:row r="6">
      <x:c r="A6" s="14" t="str">
        <x:v>Testing &amp; UAT</x:v>
      </x:c>
      <x:c r="B6" s="38" t="n">
        <x:v>16000</x:v>
      </x:c>
      <x:c r="C6" s="38" t="n">
        <x:v>15450</x:v>
      </x:c>
      <x:c r="D6" s="38" t="n">
        <x:f>B6-C6</x:f>
        <x:v>550</x:v>
      </x:c>
      <x:c r="E6" s="15" t="n">
        <x:f>IFERROR(D6/B6,0)</x:f>
        <x:v>0.034375</x:v>
      </x:c>
      <x:c r="F6" s="38" t="n">
        <x:f>C6</x:f>
        <x:v>15450</x:v>
      </x:c>
      <x:c r="G6" s="14" t="str">
        <x:v>Below baseline</x:v>
      </x:c>
    </x:row>
    <x:row r="7">
      <x:c r="A7" s="14" t="str">
        <x:v>Training &amp; Change</x:v>
      </x:c>
      <x:c r="B7" s="38" t="n">
        <x:v>14000</x:v>
      </x:c>
      <x:c r="C7" s="38" t="n">
        <x:v>13600</x:v>
      </x:c>
      <x:c r="D7" s="38" t="n">
        <x:f>B7-C7</x:f>
        <x:v>400</x:v>
      </x:c>
      <x:c r="E7" s="15" t="n">
        <x:f>IFERROR(D7/B7,0)</x:f>
        <x:v>0.02857142857142857</x:v>
      </x:c>
      <x:c r="F7" s="38" t="n">
        <x:f>C7</x:f>
        <x:v>13600</x:v>
      </x:c>
      <x:c r="G7" s="14" t="str">
        <x:v>Digital training reduced cost</x:v>
      </x:c>
    </x:row>
    <x:row r="8">
      <x:c r="A8" s="14" t="str">
        <x:v>Cutover &amp; Hypercare</x:v>
      </x:c>
      <x:c r="B8" s="38" t="n">
        <x:v>20000</x:v>
      </x:c>
      <x:c r="C8" s="38" t="n">
        <x:v>19100</x:v>
      </x:c>
      <x:c r="D8" s="38" t="n">
        <x:f>B8-C8</x:f>
        <x:v>900</x:v>
      </x:c>
      <x:c r="E8" s="15" t="n">
        <x:f>IFERROR(D8/B8,0)</x:f>
        <x:v>0.045</x:v>
      </x:c>
      <x:c r="F8" s="38" t="n">
        <x:f>C8</x:f>
        <x:v>19100</x:v>
      </x:c>
      <x:c r="G8" s="14" t="str">
        <x:v>Lower support overtime</x:v>
      </x:c>
    </x:row>
    <x:row r="9">
      <x:c r="A9" s="14"/>
      <x:c r="B9" s="38"/>
      <x:c r="C9" s="38"/>
      <x:c r="D9" s="38"/>
      <x:c r="E9" s="15"/>
      <x:c r="F9" s="38"/>
      <x:c r="G9" s="14"/>
    </x:row>
    <x:row r="10">
      <x:c r="A10" s="26" t="str">
        <x:v>Summary</x:v>
      </x:c>
      <x:c r="B10" s="33" t="str">
        <x:v>Baseline</x:v>
      </x:c>
      <x:c r="C10" s="33" t="str">
        <x:v>Actual / Forecast</x:v>
      </x:c>
      <x:c r="D10" s="33" t="str">
        <x:v>Variance</x:v>
      </x:c>
      <x:c r="E10" s="36" t="str">
        <x:v>Variance %</x:v>
      </x:c>
      <x:c r="F10" s="33" t="str">
        <x:v>Forecast</x:v>
      </x:c>
      <x:c r="G10" s="14"/>
    </x:row>
    <x:row r="11">
      <x:c r="A11" s="14" t="str">
        <x:v>Total</x:v>
      </x:c>
      <x:c r="B11" s="38" t="n">
        <x:f>SUM(B2:B8)</x:f>
        <x:v>150000</x:v>
      </x:c>
      <x:c r="C11" s="38" t="n">
        <x:f>SUM(C2:C8)</x:f>
        <x:v>148400</x:v>
      </x:c>
      <x:c r="D11" s="38" t="n">
        <x:f>B11-C11</x:f>
        <x:v>1600</x:v>
      </x:c>
      <x:c r="E11" s="15" t="n">
        <x:f>IFERROR(D11/B11,0)</x:f>
        <x:v>0.010666666666666666</x:v>
      </x:c>
      <x:c r="F11" s="38" t="n">
        <x:f>SUM(F2:F8)</x:f>
        <x:v>148400</x:v>
      </x:c>
      <x:c r="G11" s="14"/>
    </x:row>
    <x:row r="12">
      <x:c r="A12" s="14" t="str">
        <x:v>Contingency</x:v>
      </x:c>
      <x:c r="B12" s="38" t="n">
        <x:v>12000</x:v>
      </x:c>
      <x:c r="C12" s="38" t="n">
        <x:f>B12+D11</x:f>
        <x:v>13600</x:v>
      </x:c>
      <x:c r="D12" s="38"/>
      <x:c r="E12" s="14"/>
      <x:c r="F12" s="14"/>
      <x:c r="G12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19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</x:cols>
  <x:sheetData>
    <x:row r="1">
      <x:c r="A1" s="8" t="str">
        <x:v>Activity</x:v>
      </x:c>
      <x:c r="B1" s="8" t="str">
        <x:v>Executive Sponsor</x:v>
      </x:c>
      <x:c r="C1" s="8" t="str">
        <x:v>Project Coordinator</x:v>
      </x:c>
      <x:c r="D1" s="8" t="str">
        <x:v>Business Analyst</x:v>
      </x:c>
      <x:c r="E1" s="8" t="str">
        <x:v>Salesforce Admin</x:v>
      </x:c>
      <x:c r="F1" s="8" t="str">
        <x:v>Data Lead</x:v>
      </x:c>
      <x:c r="G1" s="8" t="str">
        <x:v>QA Lead</x:v>
      </x:c>
      <x:c r="H1" s="8" t="str">
        <x:v>Change Lead</x:v>
      </x:c>
      <x:c r="I1" s="8" t="str">
        <x:v>Sales Leadership</x:v>
      </x:c>
    </x:row>
    <x:row r="2">
      <x:c r="A2" s="14" t="str">
        <x:v>Charter</x:v>
      </x:c>
      <x:c r="B2" s="14" t="str">
        <x:v>A</x:v>
      </x:c>
      <x:c r="C2" s="14" t="str">
        <x:v>R</x:v>
      </x:c>
      <x:c r="D2" s="14" t="str">
        <x:v>C</x:v>
      </x:c>
      <x:c r="E2" s="14" t="str">
        <x:v>I</x:v>
      </x:c>
      <x:c r="F2" s="14" t="str">
        <x:v>I</x:v>
      </x:c>
      <x:c r="G2" s="14" t="str">
        <x:v>I</x:v>
      </x:c>
      <x:c r="H2" s="14" t="str">
        <x:v>I</x:v>
      </x:c>
      <x:c r="I2" s="14" t="str">
        <x:v>C</x:v>
      </x:c>
    </x:row>
    <x:row r="3">
      <x:c r="A3" s="14" t="str">
        <x:v>Requirements</x:v>
      </x:c>
      <x:c r="B3" s="14" t="str">
        <x:v>I</x:v>
      </x:c>
      <x:c r="C3" s="14" t="str">
        <x:v>C</x:v>
      </x:c>
      <x:c r="D3" s="14" t="str">
        <x:v>A/R</x:v>
      </x:c>
      <x:c r="E3" s="14" t="str">
        <x:v>C</x:v>
      </x:c>
      <x:c r="F3" s="14" t="str">
        <x:v>C</x:v>
      </x:c>
      <x:c r="G3" s="14" t="str">
        <x:v>I</x:v>
      </x:c>
      <x:c r="H3" s="14" t="str">
        <x:v>I</x:v>
      </x:c>
      <x:c r="I3" s="14" t="str">
        <x:v>R</x:v>
      </x:c>
    </x:row>
    <x:row r="4">
      <x:c r="A4" s="14" t="str">
        <x:v>Solution Design</x:v>
      </x:c>
      <x:c r="B4" s="14" t="str">
        <x:v>I</x:v>
      </x:c>
      <x:c r="C4" s="14" t="str">
        <x:v>C</x:v>
      </x:c>
      <x:c r="D4" s="14" t="str">
        <x:v>C</x:v>
      </x:c>
      <x:c r="E4" s="14" t="str">
        <x:v>A/R</x:v>
      </x:c>
      <x:c r="F4" s="14" t="str">
        <x:v>C</x:v>
      </x:c>
      <x:c r="G4" s="14" t="str">
        <x:v>C</x:v>
      </x:c>
      <x:c r="H4" s="14" t="str">
        <x:v>I</x:v>
      </x:c>
      <x:c r="I4" s="14" t="str">
        <x:v>C</x:v>
      </x:c>
    </x:row>
    <x:row r="5">
      <x:c r="A5" s="14" t="str">
        <x:v>Configuration</x:v>
      </x:c>
      <x:c r="B5" s="14" t="str">
        <x:v>I</x:v>
      </x:c>
      <x:c r="C5" s="14" t="str">
        <x:v>C</x:v>
      </x:c>
      <x:c r="D5" s="14" t="str">
        <x:v>C</x:v>
      </x:c>
      <x:c r="E5" s="14" t="str">
        <x:v>A/R</x:v>
      </x:c>
      <x:c r="F5" s="14" t="str">
        <x:v>I</x:v>
      </x:c>
      <x:c r="G5" s="14" t="str">
        <x:v>C</x:v>
      </x:c>
      <x:c r="H5" s="14" t="str">
        <x:v>I</x:v>
      </x:c>
      <x:c r="I5" s="14" t="str">
        <x:v>C</x:v>
      </x:c>
    </x:row>
    <x:row r="6">
      <x:c r="A6" s="14" t="str">
        <x:v>Data Migration</x:v>
      </x:c>
      <x:c r="B6" s="14" t="str">
        <x:v>I</x:v>
      </x:c>
      <x:c r="C6" s="14" t="str">
        <x:v>C</x:v>
      </x:c>
      <x:c r="D6" s="14" t="str">
        <x:v>C</x:v>
      </x:c>
      <x:c r="E6" s="14" t="str">
        <x:v>C</x:v>
      </x:c>
      <x:c r="F6" s="14" t="str">
        <x:v>A/R</x:v>
      </x:c>
      <x:c r="G6" s="14" t="str">
        <x:v>C</x:v>
      </x:c>
      <x:c r="H6" s="14" t="str">
        <x:v>I</x:v>
      </x:c>
      <x:c r="I6" s="14" t="str">
        <x:v>I</x:v>
      </x:c>
    </x:row>
    <x:row r="7">
      <x:c r="A7" s="14" t="str">
        <x:v>UAT</x:v>
      </x:c>
      <x:c r="B7" s="14" t="str">
        <x:v>I</x:v>
      </x:c>
      <x:c r="C7" s="14" t="str">
        <x:v>A/R</x:v>
      </x:c>
      <x:c r="D7" s="14" t="str">
        <x:v>C</x:v>
      </x:c>
      <x:c r="E7" s="14" t="str">
        <x:v>C</x:v>
      </x:c>
      <x:c r="F7" s="14" t="str">
        <x:v>C</x:v>
      </x:c>
      <x:c r="G7" s="14" t="str">
        <x:v>R</x:v>
      </x:c>
      <x:c r="H7" s="14" t="str">
        <x:v>I</x:v>
      </x:c>
      <x:c r="I7" s="14" t="str">
        <x:v>R</x:v>
      </x:c>
    </x:row>
    <x:row r="8">
      <x:c r="A8" s="14" t="str">
        <x:v>Training</x:v>
      </x:c>
      <x:c r="B8" s="14" t="str">
        <x:v>I</x:v>
      </x:c>
      <x:c r="C8" s="14" t="str">
        <x:v>C</x:v>
      </x:c>
      <x:c r="D8" s="14" t="str">
        <x:v>C</x:v>
      </x:c>
      <x:c r="E8" s="14" t="str">
        <x:v>C</x:v>
      </x:c>
      <x:c r="F8" s="14" t="str">
        <x:v>I</x:v>
      </x:c>
      <x:c r="G8" s="14" t="str">
        <x:v>I</x:v>
      </x:c>
      <x:c r="H8" s="14" t="str">
        <x:v>A/R</x:v>
      </x:c>
      <x:c r="I8" s="14" t="str">
        <x:v>R</x:v>
      </x:c>
    </x:row>
    <x:row r="9">
      <x:c r="A9" s="14" t="str">
        <x:v>Cutover</x:v>
      </x:c>
      <x:c r="B9" s="14" t="str">
        <x:v>I</x:v>
      </x:c>
      <x:c r="C9" s="14" t="str">
        <x:v>A/R</x:v>
      </x:c>
      <x:c r="D9" s="14" t="str">
        <x:v>C</x:v>
      </x:c>
      <x:c r="E9" s="14" t="str">
        <x:v>R</x:v>
      </x:c>
      <x:c r="F9" s="14" t="str">
        <x:v>R</x:v>
      </x:c>
      <x:c r="G9" s="14" t="str">
        <x:v>R</x:v>
      </x:c>
      <x:c r="H9" s="14" t="str">
        <x:v>R</x:v>
      </x:c>
      <x:c r="I9" s="14" t="str">
        <x:v>C</x:v>
      </x:c>
    </x:row>
    <x:row r="10">
      <x:c r="A10" s="14" t="str">
        <x:v>Hypercare</x:v>
      </x:c>
      <x:c r="B10" s="14" t="str">
        <x:v>I</x:v>
      </x:c>
      <x:c r="C10" s="14" t="str">
        <x:v>A/R</x:v>
      </x:c>
      <x:c r="D10" s="14" t="str">
        <x:v>C</x:v>
      </x:c>
      <x:c r="E10" s="14" t="str">
        <x:v>R</x:v>
      </x:c>
      <x:c r="F10" s="14" t="str">
        <x:v>C</x:v>
      </x:c>
      <x:c r="G10" s="14" t="str">
        <x:v>R</x:v>
      </x:c>
      <x:c r="H10" s="14" t="str">
        <x:v>R</x:v>
      </x:c>
      <x:c r="I10" s="14" t="str">
        <x:v>C</x:v>
      </x:c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8" t="str">
        <x:v>Stakeholder</x:v>
      </x:c>
      <x:c r="B12" s="8" t="str">
        <x:v>Role</x:v>
      </x:c>
      <x:c r="C12" s="8" t="str">
        <x:v>Influence</x:v>
      </x:c>
      <x:c r="D12" s="8" t="str">
        <x:v>Interest</x:v>
      </x:c>
      <x:c r="E12" s="8" t="str">
        <x:v>Communication</x:v>
      </x:c>
      <x:c r="F12" s="8" t="str">
        <x:v>Cadence</x:v>
      </x:c>
      <x:c r="G12" s="8" t="str">
        <x:v>Owner</x:v>
      </x:c>
      <x:c r="H12" s="8" t="str">
        <x:v>Key Need</x:v>
      </x:c>
      <x:c r="I12" s="14"/>
    </x:row>
    <x:row r="13">
      <x:c r="A13" s="14" t="str">
        <x:v>Executive Sponsor</x:v>
      </x:c>
      <x:c r="B13" s="14" t="str">
        <x:v>Sales / Operations sponsor</x:v>
      </x:c>
      <x:c r="C13" s="14" t="str">
        <x:v>High</x:v>
      </x:c>
      <x:c r="D13" s="14" t="str">
        <x:v>High</x:v>
      </x:c>
      <x:c r="E13" s="14" t="str">
        <x:v>Executive update</x:v>
      </x:c>
      <x:c r="F13" s="14" t="str">
        <x:v>Biweekly</x:v>
      </x:c>
      <x:c r="G13" s="14" t="str">
        <x:v>Project Coordinator</x:v>
      </x:c>
      <x:c r="H13" s="14" t="str">
        <x:v>Health, risks, budget, adoption</x:v>
      </x:c>
      <x:c r="I13" s="14"/>
    </x:row>
    <x:row r="14">
      <x:c r="A14" s="14" t="str">
        <x:v>Sales Leadership</x:v>
      </x:c>
      <x:c r="B14" s="14" t="str">
        <x:v>Primary business owner</x:v>
      </x:c>
      <x:c r="C14" s="14" t="str">
        <x:v>High</x:v>
      </x:c>
      <x:c r="D14" s="14" t="str">
        <x:v>High</x:v>
      </x:c>
      <x:c r="E14" s="14" t="str">
        <x:v>Working session</x:v>
      </x:c>
      <x:c r="F14" s="14" t="str">
        <x:v>Weekly</x:v>
      </x:c>
      <x:c r="G14" s="14" t="str">
        <x:v>Project Coordinator</x:v>
      </x:c>
      <x:c r="H14" s="14" t="str">
        <x:v>Pipeline workflow and adoption</x:v>
      </x:c>
      <x:c r="I14" s="14"/>
    </x:row>
    <x:row r="15">
      <x:c r="A15" s="14" t="str">
        <x:v>Sales Operations</x:v>
      </x:c>
      <x:c r="B15" s="14" t="str">
        <x:v>Process owner</x:v>
      </x:c>
      <x:c r="C15" s="14" t="str">
        <x:v>High</x:v>
      </x:c>
      <x:c r="D15" s="14" t="str">
        <x:v>High</x:v>
      </x:c>
      <x:c r="E15" s="14" t="str">
        <x:v>Requirements / UAT sync</x:v>
      </x:c>
      <x:c r="F15" s="14" t="str">
        <x:v>Weekly</x:v>
      </x:c>
      <x:c r="G15" s="14" t="str">
        <x:v>Project Coordinator</x:v>
      </x:c>
      <x:c r="H15" s="14" t="str">
        <x:v>Data quality, reporting, workflow</x:v>
      </x:c>
      <x:c r="I15" s="14"/>
    </x:row>
    <x:row r="16">
      <x:c r="A16" s="14" t="str">
        <x:v>IT / Salesforce Admin</x:v>
      </x:c>
      <x:c r="B16" s="14" t="str">
        <x:v>Technical delivery</x:v>
      </x:c>
      <x:c r="C16" s="14" t="str">
        <x:v>High</x:v>
      </x:c>
      <x:c r="D16" s="14" t="str">
        <x:v>High</x:v>
      </x:c>
      <x:c r="E16" s="14" t="str">
        <x:v>Build / defect triage</x:v>
      </x:c>
      <x:c r="F16" s="14" t="str">
        <x:v>2x weekly during build</x:v>
      </x:c>
      <x:c r="G16" s="14" t="str">
        <x:v>Project Coordinator</x:v>
      </x:c>
      <x:c r="H16" s="14" t="str">
        <x:v>Configuration, security, defects</x:v>
      </x:c>
      <x:c r="I16" s="14"/>
    </x:row>
    <x:row r="17">
      <x:c r="A17" s="14" t="str">
        <x:v>End Users</x:v>
      </x:c>
      <x:c r="B17" s="14" t="str">
        <x:v>Sales / marketing / operations users</x:v>
      </x:c>
      <x:c r="C17" s="14" t="str">
        <x:v>Medium</x:v>
      </x:c>
      <x:c r="D17" s="14" t="str">
        <x:v>High</x:v>
      </x:c>
      <x:c r="E17" s="14" t="str">
        <x:v>Training / office hours</x:v>
      </x:c>
      <x:c r="F17" s="14" t="str">
        <x:v>Per rollout plan</x:v>
      </x:c>
      <x:c r="G17" s="14" t="str">
        <x:v>Change Lead</x:v>
      </x:c>
      <x:c r="H17" s="14" t="str">
        <x:v>Usability, training, support</x:v>
      </x:c>
      <x:c r="I17" s="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6" hidden="0" customWidth="1"/>
    <x:col min="4" max="4" width="40" hidden="0" customWidth="1"/>
    <x:col min="5" max="5" width="12" hidden="0" customWidth="1"/>
    <x:col min="6" max="6" width="14" hidden="0" customWidth="1"/>
    <x:col min="7" max="7" width="20" hidden="0" customWidth="1"/>
    <x:col min="8" max="8" width="14" hidden="0" customWidth="1"/>
  </x:cols>
  <x:sheetData>
    <x:row r="1">
      <x:c r="A1" s="8" t="str">
        <x:v>Change ID</x:v>
      </x:c>
      <x:c r="B1" s="8" t="str">
        <x:v>Request</x:v>
      </x:c>
      <x:c r="C1" s="8" t="str">
        <x:v>Reason</x:v>
      </x:c>
      <x:c r="D1" s="8" t="str">
        <x:v>Impact</x:v>
      </x:c>
      <x:c r="E1" s="8" t="str">
        <x:v>Decision</x:v>
      </x:c>
      <x:c r="F1" s="8" t="str">
        <x:v>Decision Date</x:v>
      </x:c>
      <x:c r="G1" s="8" t="str">
        <x:v>Owner</x:v>
      </x:c>
      <x:c r="H1" s="8" t="str">
        <x:v>Status</x:v>
      </x:c>
    </x:row>
    <x:row r="2">
      <x:c r="A2" s="14" t="str">
        <x:v>CR-01</x:v>
      </x:c>
      <x:c r="B2" s="14" t="str">
        <x:v>Add lead-source normalization rules</x:v>
      </x:c>
      <x:c r="C2" s="14" t="str">
        <x:v>Improve reporting consistency across migrated records</x:v>
      </x:c>
      <x:c r="D2" s="14" t="str">
        <x:v>Adds cleansing logic; no go-live impact</x:v>
      </x:c>
      <x:c r="E2" s="14" t="str">
        <x:v>Approved</x:v>
      </x:c>
      <x:c r="F2" s="20" t="n">
        <x:v>46056</x:v>
      </x:c>
      <x:c r="G2" s="14" t="str">
        <x:v>Data Lead</x:v>
      </x:c>
      <x:c r="H2" s="14" t="str">
        <x:v>Implemented</x:v>
      </x:c>
    </x:row>
    <x:row r="3">
      <x:c r="A3" s="14" t="str">
        <x:v>CR-02</x:v>
      </x:c>
      <x:c r="B3" s="14" t="str">
        <x:v>Add manager dashboard for pipeline hygiene</x:v>
      </x:c>
      <x:c r="C3" s="14" t="str">
        <x:v>Sales leadership requested visibility into stale opportunities</x:v>
      </x:c>
      <x:c r="D3" s="14" t="str">
        <x:v>Minor configuration effort; no schedule impact</x:v>
      </x:c>
      <x:c r="E3" s="14" t="str">
        <x:v>Approved</x:v>
      </x:c>
      <x:c r="F3" s="20" t="n">
        <x:v>46073</x:v>
      </x:c>
      <x:c r="G3" s="14" t="str">
        <x:v>Salesforce Admin</x:v>
      </x:c>
      <x:c r="H3" s="14" t="str">
        <x:v>Implemented</x:v>
      </x:c>
    </x:row>
    <x:row r="4">
      <x:c r="A4" s="14" t="str">
        <x:v>CR-03</x:v>
      </x:c>
      <x:c r="B4" s="14" t="str">
        <x:v>Extend hypercare office hours by one week</x:v>
      </x:c>
      <x:c r="C4" s="14" t="str">
        <x:v>Support adoption after launch</x:v>
      </x:c>
      <x:c r="D4" s="14" t="str">
        <x:v>Small support-cost increase within contingency</x:v>
      </x:c>
      <x:c r="E4" s="14" t="str">
        <x:v>Approved</x:v>
      </x:c>
      <x:c r="F4" s="20" t="n">
        <x:v>46104</x:v>
      </x:c>
      <x:c r="G4" s="14" t="str">
        <x:v>Change Lead</x:v>
      </x:c>
      <x:c r="H4" s="14" t="str">
        <x:v>Implemented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8" hidden="0" customWidth="1"/>
    <x:col min="4" max="4" width="22" hidden="0" customWidth="1"/>
    <x:col min="5" max="5" width="18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30" customHeight="1">
      <x:c r="A1" s="43" t="str">
        <x:v>Salesforce CRM Implementation | Executive Dashboard</x:v>
      </x:c>
      <x:c r="B1" s="43"/>
      <x:c r="C1" s="43"/>
      <x:c r="D1" s="43"/>
      <x:c r="E1" s="43"/>
      <x:c r="F1" s="43"/>
      <x:c r="G1" s="43"/>
      <x:c r="H1" s="43"/>
      <x:c r="I1" s="43"/>
    </x:row>
    <x:row r="2">
      <x:c r="K2" t="str">
        <x:v>Week</x:v>
      </x:c>
      <x:c r="L2" t="str">
        <x:v>UAT Pass %</x:v>
      </x:c>
      <x:c r="N2" t="str">
        <x:v>Week</x:v>
      </x:c>
      <x:c r="O2" t="str">
        <x:v>Login Adoption %</x:v>
      </x:c>
      <x:c r="Q2" t="str">
        <x:v>Object</x:v>
      </x:c>
      <x:c r="R2" t="str">
        <x:v>Migration Success %</x:v>
      </x:c>
    </x:row>
    <x:row r="3">
      <x:c r="K3" t="str">
        <x:v>W1</x:v>
      </x:c>
      <x:c r="L3" s="2" t="n">
        <x:v>0</x:v>
      </x:c>
      <x:c r="N3" t="str">
        <x:v>W1</x:v>
      </x:c>
      <x:c r="O3" s="2" t="n">
        <x:v>0</x:v>
      </x:c>
      <x:c r="Q3" t="str">
        <x:v>Accounts</x:v>
      </x:c>
      <x:c r="R3" s="2" t="n">
        <x:f>'Data Migration'!E2</x:f>
        <x:v>0.995</x:v>
      </x:c>
    </x:row>
    <x:row r="4">
      <x:c r="A4" s="8" t="str">
        <x:v>Implementation KPI</x:v>
      </x:c>
      <x:c r="B4" s="8" t="str">
        <x:v>Value</x:v>
      </x:c>
      <x:c r="D4" s="8" t="str">
        <x:v>Project Health</x:v>
      </x:c>
      <x:c r="E4" s="8" t="str">
        <x:v>Value</x:v>
      </x:c>
      <x:c r="K4" t="str">
        <x:v>W2</x:v>
      </x:c>
      <x:c r="L4" s="2" t="n">
        <x:v>0.78</x:v>
      </x:c>
      <x:c r="N4" t="str">
        <x:v>W2</x:v>
      </x:c>
      <x:c r="O4" s="2" t="n">
        <x:v>0.18</x:v>
      </x:c>
      <x:c r="Q4" t="str">
        <x:v>Contacts</x:v>
      </x:c>
      <x:c r="R4" s="2" t="n">
        <x:f>'Data Migration'!E3</x:f>
        <x:v>0.9939130434782608</x:v>
      </x:c>
    </x:row>
    <x:row r="5">
      <x:c r="A5" t="str">
        <x:v>Overall Status</x:v>
      </x:c>
      <x:c r="B5" t="str">
        <x:f>IF(AND(B8&gt;=0.99,B9&gt;=0.97,B10&gt;=0.95,B11&gt;=0.95,E5=0,E6=0,E7=1,E9=1,E10=0),"Green","Attention")</x:f>
        <x:v>Green</x:v>
      </x:c>
      <x:c r="D5" t="str">
        <x:v>Open Risks / Issues</x:v>
      </x:c>
      <x:c r="E5" t="n">
        <x:f>COUNTIFS('RAID Log'!B2:B6,"Risk",'RAID Log'!J2:J6,"&lt;&gt;Closed")+COUNTIFS('RAID Log'!B2:B6,"Issue",'RAID Log'!J2:J6,"&lt;&gt;Closed")</x:f>
        <x:v>0</x:v>
      </x:c>
      <x:c r="K5" t="str">
        <x:v>W3</x:v>
      </x:c>
      <x:c r="L5" s="2" t="n">
        <x:v>0.86</x:v>
      </x:c>
      <x:c r="N5" t="str">
        <x:v>W3</x:v>
      </x:c>
      <x:c r="O5" s="2" t="n">
        <x:v>0.49</x:v>
      </x:c>
      <x:c r="Q5" t="str">
        <x:v>Leads</x:v>
      </x:c>
      <x:c r="R5" s="2" t="n">
        <x:f>'Data Migration'!E4</x:f>
        <x:v>0.9929032258064516</x:v>
      </x:c>
    </x:row>
    <x:row r="6">
      <x:c r="A6" t="str">
        <x:v>Requirements Approved</x:v>
      </x:c>
      <x:c r="B6" t="n">
        <x:f>'Weekly Metrics'!B7</x:f>
        <x:v>60</x:v>
      </x:c>
      <x:c r="D6" t="str">
        <x:v>Open Critical RAID Items</x:v>
      </x:c>
      <x:c r="E6" t="n">
        <x:f>COUNTIFS('RAID Log'!M2:M6,"Critical",'RAID Log'!J2:J6,"&lt;&gt;Closed",'RAID Log'!J2:J6,"&lt;&gt;Complete",'RAID Log'!J2:J6,"&lt;&gt;Validated")</x:f>
        <x:v>0</x:v>
      </x:c>
      <x:c r="K6" t="str">
        <x:v>W4</x:v>
      </x:c>
      <x:c r="L6" s="2" t="n">
        <x:v>0.92</x:v>
      </x:c>
      <x:c r="N6" t="str">
        <x:v>W4</x:v>
      </x:c>
      <x:c r="O6" s="2" t="n">
        <x:v>0.72</x:v>
      </x:c>
      <x:c r="Q6" t="str">
        <x:v>Opportunities</x:v>
      </x:c>
      <x:c r="R6" s="2" t="n">
        <x:f>'Data Migration'!E5</x:f>
        <x:v>0.9957575757575757</x:v>
      </x:c>
    </x:row>
    <x:row r="7">
      <x:c r="A7" t="str">
        <x:v>Config Completion</x:v>
      </x:c>
      <x:c r="B7" s="2" t="n">
        <x:f>IFERROR('Weekly Metrics'!C7/72,0)</x:f>
        <x:v>1</x:v>
      </x:c>
      <x:c r="D7" t="str">
        <x:v>Milestone Completion</x:v>
      </x:c>
      <x:c r="E7" s="2" t="n">
        <x:f>IFERROR(COUNTIF(Milestones!D2:D8,"Complete")/COUNTA(Milestones!A2:A8),0)</x:f>
        <x:v>1</x:v>
      </x:c>
      <x:c r="K7" t="str">
        <x:v>W5</x:v>
      </x:c>
      <x:c r="L7" s="2" t="n">
        <x:v>0.96</x:v>
      </x:c>
      <x:c r="N7" t="str">
        <x:v>W5</x:v>
      </x:c>
      <x:c r="O7" s="2" t="n">
        <x:v>0.91</x:v>
      </x:c>
    </x:row>
    <x:row r="8">
      <x:c r="A8" t="str">
        <x:v>Migration Success</x:v>
      </x:c>
      <x:c r="B8" s="2" t="n">
        <x:f>'Weekly Metrics'!E7</x:f>
        <x:v>0.994</x:v>
      </x:c>
      <x:c r="D8" t="str">
        <x:v>Budget Variance</x:v>
      </x:c>
      <x:c r="E8" s="2" t="n">
        <x:f>IFERROR((Budget!B11-Budget!C11)/Budget!B11,0)</x:f>
        <x:v>0.010666666666666666</x:v>
      </x:c>
      <x:c r="K8" t="str">
        <x:v>W6</x:v>
      </x:c>
      <x:c r="L8" s="2" t="n">
        <x:v>0.982</x:v>
      </x:c>
      <x:c r="N8" t="str">
        <x:v>W6</x:v>
      </x:c>
      <x:c r="O8" s="2" t="n">
        <x:v>0.986</x:v>
      </x:c>
    </x:row>
    <x:row r="9">
      <x:c r="A9" t="str">
        <x:v>UAT Pass Rate</x:v>
      </x:c>
      <x:c r="B9" s="2" t="n">
        <x:f>'Weekly Metrics'!G7</x:f>
        <x:v>0.982</x:v>
      </x:c>
      <x:c r="D9" t="str">
        <x:v>Task Completion</x:v>
      </x:c>
      <x:c r="E9" s="2" t="n">
        <x:f>IFERROR(COUNTIF('Task Tracker'!F2:F13,"Complete")/COUNTA('Task Tracker'!A2:A13),0)</x:f>
        <x:v>1</x:v>
      </x:c>
    </x:row>
    <x:row r="10">
      <x:c r="A10" t="str">
        <x:v>Training Completion</x:v>
      </x:c>
      <x:c r="B10" s="2" t="n">
        <x:f>'Weekly Metrics'!J7</x:f>
        <x:v>0.98</x:v>
      </x:c>
      <x:c r="D10" t="str">
        <x:v>Open Defects</x:v>
      </x:c>
      <x:c r="E10" t="n">
        <x:f>'Weekly Metrics'!I7</x:f>
        <x:v>0</x:v>
      </x:c>
    </x:row>
    <x:row r="11">
      <x:c r="A11" t="str">
        <x:v>Login Adoption</x:v>
      </x:c>
      <x:c r="B11" s="2" t="n">
        <x:f>'Weekly Metrics'!L7</x:f>
        <x:v>0.986</x:v>
      </x:c>
      <x:c r="D11" t="str">
        <x:v>Hypercare Status</x:v>
      </x:c>
      <x:c r="E11" t="str">
        <x:v>Stable</x:v>
      </x:c>
    </x:row>
    <x:row r="13">
      <x:c r="A13" s="26" t="str">
        <x:v>Executive Summary</x:v>
      </x:c>
      <x:c r="B13" s="26"/>
      <x:c r="C13" s="26"/>
      <x:c r="D13" s="26"/>
      <x:c r="E13" s="26"/>
      <x:c r="F13" s="26"/>
      <x:c r="G13" s="26"/>
      <x:c r="H13" s="26"/>
      <x:c r="I13" s="26"/>
    </x:row>
    <x:row r="14">
      <x:c r="A14" s="50" t="str">
        <x:v>Scope</x:v>
      </x:c>
      <x:c r="B14" s="14" t="str">
        <x:v>Simulated Salesforce CRM implementation for sales, marketing, and operations, including configuration, migration, integrations, UAT, training, cutover, and hypercare.</x:v>
      </x:c>
      <x:c r="C14" s="14"/>
      <x:c r="D14" s="14"/>
      <x:c r="E14" s="14"/>
      <x:c r="F14" s="14"/>
      <x:c r="G14" s="14"/>
      <x:c r="H14" s="14"/>
      <x:c r="I14" s="14"/>
    </x:row>
    <x:row r="15">
      <x:c r="A15" s="50" t="str">
        <x:v>Data Migration</x:v>
      </x:c>
      <x:c r="B15" s="14" t="str">
        <x:v>14,850 legacy CRM records loaded with 99.4% final migration success.</x:v>
      </x:c>
      <x:c r="C15" s="14"/>
      <x:c r="D15" s="14"/>
      <x:c r="E15" s="14"/>
      <x:c r="F15" s="14"/>
      <x:c r="G15" s="14"/>
      <x:c r="H15" s="14"/>
      <x:c r="I15" s="14"/>
    </x:row>
    <x:row r="16">
      <x:c r="A16" s="50" t="str">
        <x:v>Quality</x:v>
      </x:c>
      <x:c r="B16" s="14" t="str">
        <x:v>UAT reached 98.2% pass rate with zero open defects at hypercare exit.</x:v>
      </x:c>
      <x:c r="C16" s="14"/>
      <x:c r="D16" s="14"/>
      <x:c r="E16" s="14"/>
      <x:c r="F16" s="14"/>
      <x:c r="G16" s="14"/>
      <x:c r="H16" s="14"/>
      <x:c r="I16" s="14"/>
    </x:row>
    <x:row r="17">
      <x:c r="A17" s="50" t="str">
        <x:v>Adoption</x:v>
      </x:c>
      <x:c r="B17" s="14" t="str">
        <x:v>98% training completion and 98.6% login adoption across 140 targeted users.</x:v>
      </x:c>
      <x:c r="C17" s="14"/>
      <x:c r="D17" s="14"/>
      <x:c r="E17" s="14"/>
      <x:c r="F17" s="14"/>
      <x:c r="G17" s="14"/>
      <x:c r="H17" s="14"/>
      <x:c r="I17" s="14"/>
    </x:row>
    <x:row r="18">
      <x:c r="A18" s="50" t="str">
        <x:v>Delivery</x:v>
      </x:c>
      <x:c r="B18" s="14" t="str">
        <x:v>All milestones and implementation tasks completed with zero open RAID items.</x:v>
      </x:c>
      <x:c r="C18" s="14"/>
      <x:c r="D18" s="14"/>
      <x:c r="E18" s="14"/>
      <x:c r="F18" s="14"/>
      <x:c r="G18" s="14"/>
      <x:c r="H18" s="14"/>
      <x:c r="I18" s="14"/>
    </x:row>
    <x:row r="19">
      <x:c r="A19" s="50" t="str">
        <x:v>Budget</x:v>
      </x:c>
      <x:c r="B19" s="14" t="str">
        <x:v>Actual implementation cost finished below the $150,000 baseline budget.</x:v>
      </x:c>
      <x:c r="C19" s="14"/>
      <x:c r="D19" s="14"/>
      <x:c r="E19" s="14"/>
      <x:c r="F19" s="14"/>
      <x:c r="G19" s="14"/>
      <x:c r="H19" s="14"/>
      <x:c r="I19" s="14"/>
    </x:row>
    <x:row r="55">
      <x:c r="A55" s="43" t="str">
        <x:v>Project Controls Demonstrated</x:v>
      </x:c>
      <x:c r="B55" s="43"/>
      <x:c r="C55" s="43"/>
      <x:c r="D55" s="43"/>
      <x:c r="E55" s="43"/>
      <x:c r="F55" s="43"/>
      <x:c r="G55" s="43"/>
      <x:c r="H55" s="43"/>
      <x:c r="I55" s="43"/>
    </x:row>
    <x:row r="56">
      <x:c r="A56" s="26" t="str">
        <x:v>Implementation Delivery</x:v>
      </x:c>
      <x:c r="B56" s="26"/>
      <x:c r="C56" s="26"/>
      <x:c r="D56" s="26" t="str">
        <x:v>Governance &amp; Risk</x:v>
      </x:c>
      <x:c r="E56" s="26"/>
      <x:c r="F56" s="26"/>
      <x:c r="G56" s="26" t="str">
        <x:v>CRM Analytics &amp; Adoption</x:v>
      </x:c>
      <x:c r="H56" s="26"/>
      <x:c r="I56" s="26"/>
    </x:row>
    <x:row r="57">
      <x:c r="A57" s="52" t="str">
        <x:v>Requirements / design
Configuration &amp; integration
Migration &amp; UAT
Cutover / hypercare</x:v>
      </x:c>
      <x:c r="B57" s="52"/>
      <x:c r="C57" s="52"/>
      <x:c r="D57" s="52" t="str">
        <x:v>RAID scoring
RACI / stakeholders
Change control
Milestones / budget</x:v>
      </x:c>
      <x:c r="E57" s="52"/>
      <x:c r="F57" s="52"/>
      <x:c r="G57" s="52" t="str">
        <x:v>Migration quality
UAT pass rate
Training completion
Login adoption</x:v>
      </x:c>
      <x:c r="H57" s="52"/>
      <x:c r="I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</x:row>
  </x:sheetData>
  <x:mergeCells>
    <x:mergeCell ref="A1:I1"/>
    <x:mergeCell ref="A13:I13"/>
    <x:mergeCell ref="B14:I14"/>
    <x:mergeCell ref="B15:I15"/>
    <x:mergeCell ref="B16:I16"/>
    <x:mergeCell ref="B17:I17"/>
    <x:mergeCell ref="B18:I18"/>
    <x:mergeCell ref="B19:I19"/>
    <x:mergeCell ref="A55:I55"/>
    <x:mergeCell ref="A56:C56"/>
    <x:mergeCell ref="D56:F56"/>
    <x:mergeCell ref="G56:I56"/>
    <x:mergeCell ref="A57:C60"/>
    <x:mergeCell ref="D57:F60"/>
    <x:mergeCell ref="G57:I60"/>
  </x:mergeCells>
  <x:pageMargins left="0.7" right="0.7" top="0.75" bottom="0.75" header="0.3" footer="0.3"/>
  <x:drawing xmlns:r="http://schemas.openxmlformats.org/officeDocument/2006/relationships" r:id="Rda1f0e7c484e42d1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34" hidden="0" customWidth="1"/>
    <x:col min="4" max="4" width="44" hidden="0" customWidth="1"/>
  </x:cols>
  <x:sheetData>
    <x:row r="1">
      <x:c r="A1" s="8" t="str">
        <x:v>Area</x:v>
      </x:c>
      <x:c r="B1" s="8" t="str">
        <x:v>Formula Example</x:v>
      </x:c>
      <x:c r="C1" s="8" t="str">
        <x:v>Purpose</x:v>
      </x:c>
      <x:c r="D1" s="8" t="str">
        <x:v>Interview Talking Point</x:v>
      </x:c>
    </x:row>
    <x:row r="2">
      <x:c r="A2" s="14" t="str">
        <x:v>Data Migration</x:v>
      </x:c>
      <x:c r="B2" s="14" t="str">
        <x:v>=IFERROR(C2/B2,0)</x:v>
      </x:c>
      <x:c r="C2" s="14" t="str">
        <x:v>Calculates load success rate</x:v>
      </x:c>
      <x:c r="D2" s="14" t="str">
        <x:v>Shows migration quality by Salesforce object.</x:v>
      </x:c>
    </x:row>
    <x:row r="3">
      <x:c r="A3" s="14" t="str">
        <x:v>UAT &amp; Defects</x:v>
      </x:c>
      <x:c r="B3" s="14" t="str">
        <x:v>=IFERROR(D2/C2,0)</x:v>
      </x:c>
      <x:c r="C3" s="14" t="str">
        <x:v>Calculates UAT pass rate</x:v>
      </x:c>
      <x:c r="D3" s="14" t="str">
        <x:v>Tracks readiness for production cutover.</x:v>
      </x:c>
    </x:row>
    <x:row r="4">
      <x:c r="A4" s="14" t="str">
        <x:v>Training &amp; Adoption</x:v>
      </x:c>
      <x:c r="B4" s="14" t="str">
        <x:v>=IFERROR(C2/B2,0)</x:v>
      </x:c>
      <x:c r="C4" s="14" t="str">
        <x:v>Calculates training completion</x:v>
      </x:c>
      <x:c r="D4" s="14" t="str">
        <x:v>Measures enablement readiness.</x:v>
      </x:c>
    </x:row>
    <x:row r="5">
      <x:c r="A5" s="14" t="str">
        <x:v>Task Tracker</x:v>
      </x:c>
      <x:c r="B5" s="14" t="n">
        <x:f>IF(F2="Complete",0,H2-TODAY())</x:f>
        <x:v>-46291</x:v>
      </x:c>
      <x:c r="C5" s="14" t="str">
        <x:v>Days remaining</x:v>
      </x:c>
      <x:c r="D5" s="14" t="str">
        <x:v>Supports proactive implementation schedule management.</x:v>
      </x:c>
    </x:row>
    <x:row r="6">
      <x:c r="A6" s="14" t="str">
        <x:v>RAID Log</x:v>
      </x:c>
      <x:c r="B6" s="14" t="str">
        <x:v>=D2*E2</x:v>
      </x:c>
      <x:c r="C6" s="14" t="str">
        <x:v>Risk score</x:v>
      </x:c>
      <x:c r="D6" s="14" t="str">
        <x:v>Standardizes implementation risk prioritization.</x:v>
      </x:c>
    </x:row>
    <x:row r="7">
      <x:c r="A7" s="14" t="str">
        <x:v>Milestones</x:v>
      </x:c>
      <x:c r="B7" s="14" t="str">
        <x:v>=C2-B2</x:v>
      </x:c>
      <x:c r="C7" s="14" t="str">
        <x:v>Schedule variance</x:v>
      </x:c>
      <x:c r="D7" s="14" t="str">
        <x:v>Compares actual milestone dates to baseline.</x:v>
      </x:c>
    </x:row>
    <x:row r="8">
      <x:c r="A8" s="14" t="str">
        <x:v>Budget</x:v>
      </x:c>
      <x:c r="B8" s="14" t="str">
        <x:v>=B2-C2</x:v>
      </x:c>
      <x:c r="C8" s="14" t="str">
        <x:v>Cost variance</x:v>
      </x:c>
      <x:c r="D8" s="14" t="str">
        <x:v>Tracks implementation budget performance.</x:v>
      </x:c>
    </x:row>
    <x:row r="9">
      <x:c r="A9" s="14" t="str">
        <x:v>Dashboard</x:v>
      </x:c>
      <x:c r="B9" s="14" t="str">
        <x:v>=COUNTIF('Task Tracker'!F2:F13,"Complete")/COUNTA('Task Tracker'!A2:A13)</x:v>
      </x:c>
      <x:c r="C9" s="14" t="str">
        <x:v>Task completion KPI</x:v>
      </x:c>
      <x:c r="D9" s="14" t="str">
        <x:v>Links executive dashboard directly to delivery tracker.</x:v>
      </x:c>
    </x:row>
  </x:sheetData>
  <x:pageMargins left="0.7" right="0.7" top="0.75" bottom="0.75" header="0.3" footer="0.3"/>
</x:worksheet>
</file>