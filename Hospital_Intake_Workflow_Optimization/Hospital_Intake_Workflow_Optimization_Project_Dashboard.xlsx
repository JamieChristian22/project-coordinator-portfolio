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a82152178848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ly Metrics" sheetId="1" r:id="Rfa0605d5531b41fc"/>
    <x:sheet xmlns:r="http://schemas.openxmlformats.org/officeDocument/2006/relationships" name="Department Metrics" sheetId="2" r:id="Re4fd74d476004999"/>
    <x:sheet xmlns:r="http://schemas.openxmlformats.org/officeDocument/2006/relationships" name="Task Tracker" sheetId="3" r:id="R648bad31f2fb4cf7"/>
    <x:sheet xmlns:r="http://schemas.openxmlformats.org/officeDocument/2006/relationships" name="Workflow Findings" sheetId="4" r:id="R70537128d432470f"/>
    <x:sheet xmlns:r="http://schemas.openxmlformats.org/officeDocument/2006/relationships" name="RAID Log" sheetId="5" r:id="R44984bcc9e8e4c4d"/>
    <x:sheet xmlns:r="http://schemas.openxmlformats.org/officeDocument/2006/relationships" name="Milestones" sheetId="6" r:id="Rc17e261053104e29"/>
    <x:sheet xmlns:r="http://schemas.openxmlformats.org/officeDocument/2006/relationships" name="Budget" sheetId="7" r:id="Rfcd832d3beae43a8"/>
    <x:sheet xmlns:r="http://schemas.openxmlformats.org/officeDocument/2006/relationships" name="RACI &amp; Stakeholders" sheetId="8" r:id="R4761e813b4604cd9"/>
    <x:sheet xmlns:r="http://schemas.openxmlformats.org/officeDocument/2006/relationships" name="Change Log" sheetId="9" r:id="Rd82be6415c8d434f"/>
    <x:sheet xmlns:r="http://schemas.openxmlformats.org/officeDocument/2006/relationships" name="Dashboard" sheetId="10" r:id="R9c8f9eb817fa4ede"/>
    <x:sheet xmlns:r="http://schemas.openxmlformats.org/officeDocument/2006/relationships" name="Formula Guide" sheetId="11" r:id="R2658e87d155243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mmm d, yyyy"/>
    <x:numFmt numFmtId="202" formatCode="$#,##0"/>
    <x:numFmt numFmtId="203" formatCode="0.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8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2" fontId="2" fillId="3" borderId="0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/>
    <x:xf numFmtId="202" fontId="2" fillId="3" borderId="1" xfId="0" applyNumberFormat="1" applyFont="1" applyFill="1" applyBorder="1" applyAlignment="1">
      <x:alignment horizontal="center" vertical="center" wrapText="1"/>
    </x:xf>
    <x:xf numFmtId="200" fontId="2" fillId="3" borderId="0" xfId="0" applyNumberFormat="1" applyFont="1" applyFill="1" applyBorder="1" applyAlignment="1">
      <x:alignment horizontal="center" vertical="center" wrapText="1"/>
    </x:xf>
    <x:xf numFmtId="200" fontId="2" fillId="3" borderId="1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CE5CD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38cd472b4a4b06" /><Relationship Type="http://schemas.openxmlformats.org/officeDocument/2006/relationships/theme" Target="/xl/theme/theme1.xml" Id="Rf0fde597e74c430e" /><Relationship Type="http://schemas.openxmlformats.org/officeDocument/2006/relationships/sharedStrings" Target="/xl/sharedStrings.xml" Id="R54bfd84526034f35" /><Relationship Type="http://schemas.openxmlformats.org/officeDocument/2006/relationships/worksheet" Target="/xl/worksheets/sheet1.xml" Id="Rfa0605d5531b41fc" /><Relationship Type="http://schemas.openxmlformats.org/officeDocument/2006/relationships/worksheet" Target="/xl/worksheets/sheet2.xml" Id="Re4fd74d476004999" /><Relationship Type="http://schemas.openxmlformats.org/officeDocument/2006/relationships/worksheet" Target="/xl/worksheets/sheet3.xml" Id="R648bad31f2fb4cf7" /><Relationship Type="http://schemas.openxmlformats.org/officeDocument/2006/relationships/worksheet" Target="/xl/worksheets/sheet4.xml" Id="R70537128d432470f" /><Relationship Type="http://schemas.openxmlformats.org/officeDocument/2006/relationships/worksheet" Target="/xl/worksheets/sheet5.xml" Id="R44984bcc9e8e4c4d" /><Relationship Type="http://schemas.openxmlformats.org/officeDocument/2006/relationships/worksheet" Target="/xl/worksheets/sheet6.xml" Id="Rc17e261053104e29" /><Relationship Type="http://schemas.openxmlformats.org/officeDocument/2006/relationships/worksheet" Target="/xl/worksheets/sheet7.xml" Id="Rfcd832d3beae43a8" /><Relationship Type="http://schemas.openxmlformats.org/officeDocument/2006/relationships/worksheet" Target="/xl/worksheets/sheet8.xml" Id="R4761e813b4604cd9" /><Relationship Type="http://schemas.openxmlformats.org/officeDocument/2006/relationships/worksheet" Target="/xl/worksheets/sheet9.xml" Id="Rd82be6415c8d434f" /><Relationship Type="http://schemas.openxmlformats.org/officeDocument/2006/relationships/worksheet" Target="/xl/worksheets/sheet10.xml" Id="R9c8f9eb817fa4ede" /><Relationship Type="http://schemas.openxmlformats.org/officeDocument/2006/relationships/worksheet" Target="/xl/worksheets/sheet11.xml" Id="R2658e87d1552437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3a314e79f0f4062" /><Relationship Type="http://schemas.openxmlformats.org/officeDocument/2006/relationships/chart" Target="/xl/drawings/charts/chart2.xml" Id="R6013a717f22b4236" /><Relationship Type="http://schemas.openxmlformats.org/officeDocument/2006/relationships/chart" Target="/xl/drawings/charts/chart3.xml" Id="R5b32cbaba990456b" /><Relationship Type="http://schemas.openxmlformats.org/officeDocument/2006/relationships/chart" Target="/xl/drawings/charts/chart4.xml" Id="R084f98f2e9154af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Registration Time Trend</a:t>
            </a:r>
          </a:p>
        </c:rich>
      </c:tx>
    </c:title>
    <c:plotArea>
      <c:lineChart>
        <c:grouping val="standard"/>
        <c:ser>
          <c:idx val="0"/>
          <c:order val="0"/>
          <c:tx>
            <c:v>Registration Min</c:v>
          </c:tx>
          <c:marker>
            <c:symbol val="none"/>
          </c:marker>
          <c:cat>
            <c:strRef>
              <c:f>'Dashboard'!$K$3:$K$8</c:f>
              <c:strCache>
                <c:ptCount val="0"/>
              </c:strCache>
            </c:strRef>
          </c:cat>
          <c:val>
            <c:numRef>
              <c:f>'Dashboard'!$L$3:$L$8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Patient Wait Time Trend</a:t>
            </a:r>
          </a:p>
        </c:rich>
      </c:tx>
    </c:title>
    <c:plotArea>
      <c:lineChart>
        <c:grouping val="standard"/>
        <c:ser>
          <c:idx val="0"/>
          <c:order val="0"/>
          <c:tx>
            <c:v>Wait Min</c:v>
          </c:tx>
          <c:marker>
            <c:symbol val="none"/>
          </c:marker>
          <c:cat>
            <c:strRef>
              <c:f>'Dashboard'!$N$3:$N$8</c:f>
              <c:strCache>
                <c:ptCount val="0"/>
              </c:strCache>
            </c:strRef>
          </c:cat>
          <c:val>
            <c:numRef>
              <c:f>'Dashboard'!$O$3:$O$8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Wait-Time Reduction by Department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Wait Reduction %</c:v>
          </c:tx>
          <c:cat>
            <c:strRef>
              <c:f>'Dashboard'!$Q$3:$Q$7</c:f>
              <c:strCache>
                <c:ptCount val="0"/>
              </c:strCache>
            </c:strRef>
          </c:cat>
          <c:val>
            <c:numRef>
              <c:f>'Dashboard'!$R$3:$R$7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Baseline vs Actual Cost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Baseline Budget</c:v>
          </c:tx>
          <c:cat>
            <c:strRef>
              <c:f>'Budget'!$A$2:$A$7</c:f>
              <c:strCache>
                <c:ptCount val="0"/>
              </c:strCache>
            </c:strRef>
          </c:cat>
          <c:val>
            <c:numRef>
              <c:f>'Budget'!$B$2:$B$7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Actual Cost</c:v>
          </c:tx>
          <c:cat>
            <c:strRef>
              <c:f>'Budget'!$A$2:$A$7</c:f>
              <c:strCache>
                <c:ptCount val="0"/>
              </c:strCache>
            </c:strRef>
          </c:cat>
          <c:val>
            <c:numRef>
              <c:f>'Budget'!$C$2:$C$7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9</xdr:row>
      <xdr:rowOff>0</xdr:rowOff>
    </xdr:from>
    <xdr:to>
      <xdr:col>18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3a314e79f0f4062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9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013a717f22b4236"/>
        </a:graphicData>
      </a:graphic>
    </xdr:graphicFrame>
    <xdr:clientData/>
  </xdr:twoCellAnchor>
  <xdr:twoCellAnchor>
    <xdr:from>
      <xdr:col>10</xdr:col>
      <xdr:colOff>0</xdr:colOff>
      <xdr:row>24</xdr:row>
      <xdr:rowOff>0</xdr:rowOff>
    </xdr:from>
    <xdr:to>
      <xdr:col>18</xdr:col>
      <xdr:colOff>0</xdr:colOff>
      <xdr:row>39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b32cbaba990456b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9</xdr:col>
      <xdr:colOff>0</xdr:colOff>
      <xdr:row>53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84f98f2e9154af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d0a9baffff76499d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26" hidden="0" customWidth="1"/>
    <x:col min="7" max="7" width="13" hidden="0" customWidth="1"/>
    <x:col min="8" max="8" width="18" hidden="0" customWidth="1"/>
    <x:col min="9" max="9" width="18" hidden="0" customWidth="1"/>
    <x:col min="10" max="10" width="12" hidden="0" customWidth="1"/>
    <x:col min="11" max="11" width="13" hidden="0" customWidth="1"/>
    <x:col min="12" max="12" width="20" hidden="0" customWidth="1"/>
  </x:cols>
  <x:sheetData>
    <x:row r="1">
      <x:c r="A1" s="8" t="str">
        <x:v>Week</x:v>
      </x:c>
      <x:c r="B1" s="8" t="str">
        <x:v>Patients Processed</x:v>
      </x:c>
      <x:c r="C1" s="8" t="str">
        <x:v>Avg Registration Min</x:v>
      </x:c>
      <x:c r="D1" s="8" t="str">
        <x:v>Avg Wait Min</x:v>
      </x:c>
      <x:c r="E1" s="8" t="str">
        <x:v>Digital Form %</x:v>
      </x:c>
      <x:c r="F1" s="8" t="str">
        <x:v>Insurance Verified Pre-Arrival %</x:v>
      </x:c>
      <x:c r="G1" s="8" t="str">
        <x:v>Data Error %</x:v>
      </x:c>
      <x:c r="H1" s="8" t="str">
        <x:v>Staff Rework Cases</x:v>
      </x:c>
      <x:c r="I1" s="8" t="str">
        <x:v>Patient Satisfaction</x:v>
      </x:c>
      <x:c r="J1" s="8" t="str">
        <x:v>Open Issues</x:v>
      </x:c>
      <x:c r="K1" s="8" t="str">
        <x:v>Resolved Issues</x:v>
      </x:c>
      <x:c r="L1" s="8" t="str">
        <x:v>Milestones Completed</x:v>
      </x:c>
    </x:row>
    <x:row r="2">
      <x:c r="A2" s="14" t="str">
        <x:v>Week 1</x:v>
      </x:c>
      <x:c r="B2" s="14" t="n">
        <x:v>420</x:v>
      </x:c>
      <x:c r="C2" s="14" t="n">
        <x:v>14.8</x:v>
      </x:c>
      <x:c r="D2" s="14" t="n">
        <x:v>31</x:v>
      </x:c>
      <x:c r="E2" s="15" t="n">
        <x:v>0.42</x:v>
      </x:c>
      <x:c r="F2" s="15" t="n">
        <x:v>0.38</x:v>
      </x:c>
      <x:c r="G2" s="15" t="n">
        <x:v>0.087</x:v>
      </x:c>
      <x:c r="H2" s="14" t="n">
        <x:v>36</x:v>
      </x:c>
      <x:c r="I2" s="14" t="n">
        <x:v>3.7</x:v>
      </x:c>
      <x:c r="J2" s="14" t="n">
        <x:v>5</x:v>
      </x:c>
      <x:c r="K2" s="14" t="n">
        <x:v>2</x:v>
      </x:c>
      <x:c r="L2" s="14" t="n">
        <x:v>1</x:v>
      </x:c>
    </x:row>
    <x:row r="3">
      <x:c r="A3" s="14" t="str">
        <x:v>Week 2</x:v>
      </x:c>
      <x:c r="B3" s="14" t="n">
        <x:v>445</x:v>
      </x:c>
      <x:c r="C3" s="14" t="n">
        <x:v>13.2</x:v>
      </x:c>
      <x:c r="D3" s="14" t="n">
        <x:v>28.5</x:v>
      </x:c>
      <x:c r="E3" s="15" t="n">
        <x:v>0.55</x:v>
      </x:c>
      <x:c r="F3" s="15" t="n">
        <x:v>0.5</x:v>
      </x:c>
      <x:c r="G3" s="15" t="n">
        <x:v>0.071</x:v>
      </x:c>
      <x:c r="H3" s="14" t="n">
        <x:v>30</x:v>
      </x:c>
      <x:c r="I3" s="14" t="n">
        <x:v>3.9</x:v>
      </x:c>
      <x:c r="J3" s="14" t="n">
        <x:v>4</x:v>
      </x:c>
      <x:c r="K3" s="14" t="n">
        <x:v>3</x:v>
      </x:c>
      <x:c r="L3" s="14" t="n">
        <x:v>1</x:v>
      </x:c>
    </x:row>
    <x:row r="4">
      <x:c r="A4" s="14" t="str">
        <x:v>Week 3</x:v>
      </x:c>
      <x:c r="B4" s="14" t="n">
        <x:v>468</x:v>
      </x:c>
      <x:c r="C4" s="14" t="n">
        <x:v>11.6</x:v>
      </x:c>
      <x:c r="D4" s="14" t="n">
        <x:v>25</x:v>
      </x:c>
      <x:c r="E4" s="15" t="n">
        <x:v>0.68</x:v>
      </x:c>
      <x:c r="F4" s="15" t="n">
        <x:v>0.62</x:v>
      </x:c>
      <x:c r="G4" s="15" t="n">
        <x:v>0.056</x:v>
      </x:c>
      <x:c r="H4" s="14" t="n">
        <x:v>24</x:v>
      </x:c>
      <x:c r="I4" s="14" t="n">
        <x:v>4.1</x:v>
      </x:c>
      <x:c r="J4" s="14" t="n">
        <x:v>4</x:v>
      </x:c>
      <x:c r="K4" s="14" t="n">
        <x:v>3</x:v>
      </x:c>
      <x:c r="L4" s="14" t="n">
        <x:v>1</x:v>
      </x:c>
    </x:row>
    <x:row r="5">
      <x:c r="A5" s="14" t="str">
        <x:v>Week 4</x:v>
      </x:c>
      <x:c r="B5" s="14" t="n">
        <x:v>490</x:v>
      </x:c>
      <x:c r="C5" s="14" t="n">
        <x:v>10.1</x:v>
      </x:c>
      <x:c r="D5" s="14" t="n">
        <x:v>22.3</x:v>
      </x:c>
      <x:c r="E5" s="15" t="n">
        <x:v>0.79</x:v>
      </x:c>
      <x:c r="F5" s="15" t="n">
        <x:v>0.74</x:v>
      </x:c>
      <x:c r="G5" s="15" t="n">
        <x:v>0.041</x:v>
      </x:c>
      <x:c r="H5" s="14" t="n">
        <x:v>18</x:v>
      </x:c>
      <x:c r="I5" s="14" t="n">
        <x:v>4.3</x:v>
      </x:c>
      <x:c r="J5" s="14" t="n">
        <x:v>3</x:v>
      </x:c>
      <x:c r="K5" s="14" t="n">
        <x:v>3</x:v>
      </x:c>
      <x:c r="L5" s="14" t="n">
        <x:v>1</x:v>
      </x:c>
    </x:row>
    <x:row r="6">
      <x:c r="A6" s="14" t="str">
        <x:v>Week 5</x:v>
      </x:c>
      <x:c r="B6" s="14" t="n">
        <x:v>510</x:v>
      </x:c>
      <x:c r="C6" s="14" t="n">
        <x:v>8.9</x:v>
      </x:c>
      <x:c r="D6" s="14" t="n">
        <x:v>19.8</x:v>
      </x:c>
      <x:c r="E6" s="15" t="n">
        <x:v>0.88</x:v>
      </x:c>
      <x:c r="F6" s="15" t="n">
        <x:v>0.83</x:v>
      </x:c>
      <x:c r="G6" s="15" t="n">
        <x:v>0.029</x:v>
      </x:c>
      <x:c r="H6" s="14" t="n">
        <x:v>13</x:v>
      </x:c>
      <x:c r="I6" s="14" t="n">
        <x:v>4.5</x:v>
      </x:c>
      <x:c r="J6" s="14" t="n">
        <x:v>2</x:v>
      </x:c>
      <x:c r="K6" s="14" t="n">
        <x:v>3</x:v>
      </x:c>
      <x:c r="L6" s="14" t="n">
        <x:v>1</x:v>
      </x:c>
    </x:row>
    <x:row r="7">
      <x:c r="A7" s="14" t="str">
        <x:v>Week 6</x:v>
      </x:c>
      <x:c r="B7" s="14" t="n">
        <x:v>525</x:v>
      </x:c>
      <x:c r="C7" s="14" t="n">
        <x:v>7.6</x:v>
      </x:c>
      <x:c r="D7" s="14" t="n">
        <x:v>17.2</x:v>
      </x:c>
      <x:c r="E7" s="15" t="n">
        <x:v>0.94</x:v>
      </x:c>
      <x:c r="F7" s="15" t="n">
        <x:v>0.91</x:v>
      </x:c>
      <x:c r="G7" s="15" t="n">
        <x:v>0.018</x:v>
      </x:c>
      <x:c r="H7" s="14" t="n">
        <x:v>8</x:v>
      </x:c>
      <x:c r="I7" s="14" t="n">
        <x:v>4.6</x:v>
      </x:c>
      <x:c r="J7" s="14" t="n">
        <x:v>0</x:v>
      </x:c>
      <x:c r="K7" s="14" t="n">
        <x:v>2</x:v>
      </x:c>
      <x:c r="L7" s="14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1" hidden="0" customWidth="1"/>
    <x:col min="3" max="3" width="16" hidden="0" customWidth="1"/>
    <x:col min="4" max="4" width="16" hidden="0" customWidth="1"/>
    <x:col min="5" max="5" width="19" hidden="0" customWidth="1"/>
    <x:col min="6" max="6" width="16" hidden="0" customWidth="1"/>
    <x:col min="7" max="7" width="16" hidden="0" customWidth="1"/>
    <x:col min="8" max="8" width="18" hidden="0" customWidth="1"/>
    <x:col min="9" max="9" width="14" hidden="0" customWidth="1"/>
    <x:col min="10" max="10" width="13" hidden="0" customWidth="1"/>
    <x:col min="11" max="11" width="13" hidden="0" customWidth="1"/>
  </x:cols>
  <x:sheetData>
    <x:row r="1">
      <x:c r="A1" s="8" t="str">
        <x:v>Department</x:v>
      </x:c>
      <x:c r="B1" s="8" t="str">
        <x:v>Patients</x:v>
      </x:c>
      <x:c r="C1" s="8" t="str">
        <x:v>Baseline Reg Min</x:v>
      </x:c>
      <x:c r="D1" s="8" t="str">
        <x:v>Current Reg Min</x:v>
      </x:c>
      <x:c r="E1" s="8" t="str">
        <x:v>Reg Time Reduction %</x:v>
      </x:c>
      <x:c r="F1" s="8" t="str">
        <x:v>Baseline Wait Min</x:v>
      </x:c>
      <x:c r="G1" s="8" t="str">
        <x:v>Current Wait Min</x:v>
      </x:c>
      <x:c r="H1" s="8" t="str">
        <x:v>Wait Reduction %</x:v>
      </x:c>
      <x:c r="I1" s="8" t="str">
        <x:v>Digital Form %</x:v>
      </x:c>
      <x:c r="J1" s="8" t="str">
        <x:v>Data Error %</x:v>
      </x:c>
      <x:c r="K1" s="8" t="str">
        <x:v>Satisfaction</x:v>
      </x:c>
    </x:row>
    <x:row r="2">
      <x:c r="A2" s="14" t="str">
        <x:v>Emergency Intake</x:v>
      </x:c>
      <x:c r="B2" s="14" t="n">
        <x:v>610</x:v>
      </x:c>
      <x:c r="C2" s="14" t="n">
        <x:v>16.2</x:v>
      </x:c>
      <x:c r="D2" s="14" t="n">
        <x:v>8.7</x:v>
      </x:c>
      <x:c r="E2" s="15" t="n">
        <x:f>IFERROR((C2-D2)/C2,0)</x:f>
        <x:v>0.46296296296296297</x:v>
      </x:c>
      <x:c r="F2" s="14" t="n">
        <x:v>35</x:v>
      </x:c>
      <x:c r="G2" s="14" t="n">
        <x:v>20.5</x:v>
      </x:c>
      <x:c r="H2" s="15" t="n">
        <x:f>IFERROR((F2-G2)/F2,0)</x:f>
        <x:v>0.4142857142857143</x:v>
      </x:c>
      <x:c r="I2" s="15" t="n">
        <x:v>0.89</x:v>
      </x:c>
      <x:c r="J2" s="15" t="n">
        <x:v>0.022</x:v>
      </x:c>
      <x:c r="K2" s="14" t="n">
        <x:v>4.4</x:v>
      </x:c>
    </x:row>
    <x:row r="3">
      <x:c r="A3" s="14" t="str">
        <x:v>Outpatient Surgery</x:v>
      </x:c>
      <x:c r="B3" s="14" t="n">
        <x:v>540</x:v>
      </x:c>
      <x:c r="C3" s="14" t="n">
        <x:v>14.5</x:v>
      </x:c>
      <x:c r="D3" s="14" t="n">
        <x:v>7.2</x:v>
      </x:c>
      <x:c r="E3" s="15" t="n">
        <x:f>IFERROR((C3-D3)/C3,0)</x:f>
        <x:v>0.503448275862069</x:v>
      </x:c>
      <x:c r="F3" s="14" t="n">
        <x:v>29</x:v>
      </x:c>
      <x:c r="G3" s="14" t="n">
        <x:v>15.8</x:v>
      </x:c>
      <x:c r="H3" s="15" t="n">
        <x:f>IFERROR((F3-G3)/F3,0)</x:f>
        <x:v>0.4551724137931034</x:v>
      </x:c>
      <x:c r="I3" s="15" t="n">
        <x:v>0.96</x:v>
      </x:c>
      <x:c r="J3" s="15" t="n">
        <x:v>0.015</x:v>
      </x:c>
      <x:c r="K3" s="14" t="n">
        <x:v>4.7</x:v>
      </x:c>
    </x:row>
    <x:row r="4">
      <x:c r="A4" s="14" t="str">
        <x:v>Cardiology</x:v>
      </x:c>
      <x:c r="B4" s="14" t="n">
        <x:v>455</x:v>
      </x:c>
      <x:c r="C4" s="14" t="n">
        <x:v>13.8</x:v>
      </x:c>
      <x:c r="D4" s="14" t="n">
        <x:v>7</x:v>
      </x:c>
      <x:c r="E4" s="15" t="n">
        <x:f>IFERROR((C4-D4)/C4,0)</x:f>
        <x:v>0.4927536231884058</x:v>
      </x:c>
      <x:c r="F4" s="14" t="n">
        <x:v>27.5</x:v>
      </x:c>
      <x:c r="G4" s="14" t="n">
        <x:v>16.1</x:v>
      </x:c>
      <x:c r="H4" s="15" t="n">
        <x:f>IFERROR((F4-G4)/F4,0)</x:f>
        <x:v>0.4145454545454545</x:v>
      </x:c>
      <x:c r="I4" s="15" t="n">
        <x:v>0.95</x:v>
      </x:c>
      <x:c r="J4" s="15" t="n">
        <x:v>0.017</x:v>
      </x:c>
      <x:c r="K4" s="14" t="n">
        <x:v>4.6</x:v>
      </x:c>
    </x:row>
    <x:row r="5">
      <x:c r="A5" s="14" t="str">
        <x:v>Orthopedics</x:v>
      </x:c>
      <x:c r="B5" s="14" t="n">
        <x:v>430</x:v>
      </x:c>
      <x:c r="C5" s="14" t="n">
        <x:v>14.1</x:v>
      </x:c>
      <x:c r="D5" s="14" t="n">
        <x:v>7.4</x:v>
      </x:c>
      <x:c r="E5" s="15" t="n">
        <x:f>IFERROR((C5-D5)/C5,0)</x:f>
        <x:v>0.47517730496453897</x:v>
      </x:c>
      <x:c r="F5" s="14" t="n">
        <x:v>30</x:v>
      </x:c>
      <x:c r="G5" s="14" t="n">
        <x:v>16.8</x:v>
      </x:c>
      <x:c r="H5" s="15" t="n">
        <x:f>IFERROR((F5-G5)/F5,0)</x:f>
        <x:v>0.44</x:v>
      </x:c>
      <x:c r="I5" s="15" t="n">
        <x:v>0.94</x:v>
      </x:c>
      <x:c r="J5" s="15" t="n">
        <x:v>0.019</x:v>
      </x:c>
      <x:c r="K5" s="14" t="n">
        <x:v>4.6</x:v>
      </x:c>
    </x:row>
    <x:row r="6">
      <x:c r="A6" s="14" t="str">
        <x:v>Imaging</x:v>
      </x:c>
      <x:c r="B6" s="14" t="n">
        <x:v>390</x:v>
      </x:c>
      <x:c r="C6" s="14" t="n">
        <x:v>12.9</x:v>
      </x:c>
      <x:c r="D6" s="14" t="n">
        <x:v>6.9</x:v>
      </x:c>
      <x:c r="E6" s="15" t="n">
        <x:f>IFERROR((C6-D6)/C6,0)</x:f>
        <x:v>0.46511627906976744</x:v>
      </x:c>
      <x:c r="F6" s="14" t="n">
        <x:v>24.5</x:v>
      </x:c>
      <x:c r="G6" s="14" t="n">
        <x:v>14.7</x:v>
      </x:c>
      <x:c r="H6" s="15" t="n">
        <x:f>IFERROR((F6-G6)/F6,0)</x:f>
        <x:v>0.4</x:v>
      </x:c>
      <x:c r="I6" s="15" t="n">
        <x:v>0.97</x:v>
      </x:c>
      <x:c r="J6" s="15" t="n">
        <x:v>0.014</x:v>
      </x:c>
      <x:c r="K6" s="14" t="n">
        <x:v>4.7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7" hidden="0" customWidth="1"/>
    <x:col min="3" max="3" width="34" hidden="0" customWidth="1"/>
    <x:col min="4" max="4" width="20" hidden="0" customWidth="1"/>
    <x:col min="5" max="5" width="11" hidden="0" customWidth="1"/>
    <x:col min="6" max="6" width="13" hidden="0" customWidth="1"/>
    <x:col min="7" max="7" width="13" hidden="0" customWidth="1"/>
    <x:col min="8" max="8" width="13" hidden="0" customWidth="1"/>
    <x:col min="9" max="9" width="12" hidden="0" customWidth="1"/>
    <x:col min="10" max="10" width="20" hidden="0" customWidth="1"/>
    <x:col min="11" max="11" width="12" hidden="0" customWidth="1"/>
    <x:col min="12" max="12" width="10" hidden="0" customWidth="1"/>
    <x:col min="13" max="13" width="22" hidden="0" customWidth="1"/>
    <x:col min="14" max="14" width="32" hidden="0" customWidth="1"/>
  </x:cols>
  <x:sheetData>
    <x:row r="1">
      <x:c r="A1" s="8" t="str">
        <x:v>ID</x:v>
      </x:c>
      <x:c r="B1" s="8" t="str">
        <x:v>Workstream</x:v>
      </x:c>
      <x:c r="C1" s="8" t="str">
        <x:v>Task</x:v>
      </x:c>
      <x:c r="D1" s="8" t="str">
        <x:v>Owner</x:v>
      </x:c>
      <x:c r="E1" s="8" t="str">
        <x:v>Priority</x:v>
      </x:c>
      <x:c r="F1" s="8" t="str">
        <x:v>Status</x:v>
      </x:c>
      <x:c r="G1" s="8" t="str">
        <x:v>Start Date</x:v>
      </x:c>
      <x:c r="H1" s="8" t="str">
        <x:v>Due Date</x:v>
      </x:c>
      <x:c r="I1" s="8" t="str">
        <x:v>% Complete</x:v>
      </x:c>
      <x:c r="J1" s="8" t="str">
        <x:v>Dependency</x:v>
      </x:c>
      <x:c r="K1" s="8" t="str">
        <x:v>Days to Due</x:v>
      </x:c>
      <x:c r="L1" s="8" t="str">
        <x:v>Health</x:v>
      </x:c>
      <x:c r="M1" s="8" t="str">
        <x:v>Department</x:v>
      </x:c>
      <x:c r="N1" s="8" t="str">
        <x:v>Notes</x:v>
      </x:c>
    </x:row>
    <x:row r="2">
      <x:c r="A2" s="14" t="str">
        <x:v>HI-001</x:v>
      </x:c>
      <x:c r="B2" s="14" t="str">
        <x:v>Governance</x:v>
      </x:c>
      <x:c r="C2" s="14" t="str">
        <x:v>Approve optimization charter</x:v>
      </x:c>
      <x:c r="D2" s="14" t="str">
        <x:v>Project Coordinator</x:v>
      </x:c>
      <x:c r="E2" s="14" t="str">
        <x:v>High</x:v>
      </x:c>
      <x:c r="F2" s="14" t="str">
        <x:v>Complete</x:v>
      </x:c>
      <x:c r="G2" s="20" t="n">
        <x:v>46055</x:v>
      </x:c>
      <x:c r="H2" s="20" t="n">
        <x:v>46057</x:v>
      </x:c>
      <x:c r="I2" s="15" t="n">
        <x:v>1</x:v>
      </x:c>
      <x:c r="J2" s="14" t="str">
        <x:v>None</x:v>
      </x:c>
      <x:c r="K2" s="14" t="n">
        <x:f>IF(F2="Complete",0,H2-TODAY())</x:f>
        <x:v>0</x:v>
      </x:c>
      <x:c r="L2" s="14" t="str">
        <x:f>IF(F2="Complete","Green",IF(H2&lt;TODAY(),"Red",IF(H2-TODAY()&lt;=3,"Amber","Green")))</x:f>
        <x:v>Green</x:v>
      </x:c>
      <x:c r="M2" s="14" t="str">
        <x:v>All</x:v>
      </x:c>
      <x:c r="N2" s="14" t="str">
        <x:v>Sponsor approval</x:v>
      </x:c>
    </x:row>
    <x:row r="3">
      <x:c r="A3" s="14" t="str">
        <x:v>HI-002</x:v>
      </x:c>
      <x:c r="B3" s="14" t="str">
        <x:v>Process Mapping</x:v>
      </x:c>
      <x:c r="C3" s="14" t="str">
        <x:v>Document As-Is intake process</x:v>
      </x:c>
      <x:c r="D3" s="14" t="str">
        <x:v>Business Analyst</x:v>
      </x:c>
      <x:c r="E3" s="14" t="str">
        <x:v>Critical</x:v>
      </x:c>
      <x:c r="F3" s="14" t="str">
        <x:v>Complete</x:v>
      </x:c>
      <x:c r="G3" s="20" t="n">
        <x:v>46056</x:v>
      </x:c>
      <x:c r="H3" s="20" t="n">
        <x:v>46062</x:v>
      </x:c>
      <x:c r="I3" s="15" t="n">
        <x:v>1</x:v>
      </x:c>
      <x:c r="J3" s="14" t="str">
        <x:v>HI-001</x:v>
      </x:c>
      <x:c r="K3" s="14" t="n">
        <x:f>IF(F3="Complete",0,H3-TODAY())</x:f>
        <x:v>0</x:v>
      </x:c>
      <x:c r="L3" s="14" t="str">
        <x:f>IF(F3="Complete","Green",IF(H3&lt;TODAY(),"Red",IF(H3-TODAY()&lt;=3,"Amber","Green")))</x:f>
        <x:v>Green</x:v>
      </x:c>
      <x:c r="M3" s="14" t="str">
        <x:v>All</x:v>
      </x:c>
      <x:c r="N3" s="14" t="str">
        <x:v>Observed registration, eligibility, triage handoffs</x:v>
      </x:c>
    </x:row>
    <x:row r="4">
      <x:c r="A4" s="14" t="str">
        <x:v>HI-003</x:v>
      </x:c>
      <x:c r="B4" s="14" t="str">
        <x:v>Data &amp; Metrics</x:v>
      </x:c>
      <x:c r="C4" s="14" t="str">
        <x:v>Establish baseline KPI definitions</x:v>
      </x:c>
      <x:c r="D4" s="14" t="str">
        <x:v>Data Analyst</x:v>
      </x:c>
      <x:c r="E4" s="14" t="str">
        <x:v>High</x:v>
      </x:c>
      <x:c r="F4" s="14" t="str">
        <x:v>Complete</x:v>
      </x:c>
      <x:c r="G4" s="20" t="n">
        <x:v>46057</x:v>
      </x:c>
      <x:c r="H4" s="20" t="n">
        <x:v>46063</x:v>
      </x:c>
      <x:c r="I4" s="15" t="n">
        <x:v>1</x:v>
      </x:c>
      <x:c r="J4" s="14" t="str">
        <x:v>HI-001</x:v>
      </x:c>
      <x:c r="K4" s="14" t="n">
        <x:f>IF(F4="Complete",0,H4-TODAY())</x:f>
        <x:v>0</x:v>
      </x:c>
      <x:c r="L4" s="14" t="str">
        <x:f>IF(F4="Complete","Green",IF(H4&lt;TODAY(),"Red",IF(H4-TODAY()&lt;=3,"Amber","Green")))</x:f>
        <x:v>Green</x:v>
      </x:c>
      <x:c r="M4" s="14" t="str">
        <x:v>All</x:v>
      </x:c>
      <x:c r="N4" s="14" t="str">
        <x:v>Definitions approved</x:v>
      </x:c>
    </x:row>
    <x:row r="5">
      <x:c r="A5" s="14" t="str">
        <x:v>HI-004</x:v>
      </x:c>
      <x:c r="B5" s="14" t="str">
        <x:v>Design</x:v>
      </x:c>
      <x:c r="C5" s="14" t="str">
        <x:v>Create To-Be workflow</x:v>
      </x:c>
      <x:c r="D5" s="14" t="str">
        <x:v>Process Improvement Lead</x:v>
      </x:c>
      <x:c r="E5" s="14" t="str">
        <x:v>Critical</x:v>
      </x:c>
      <x:c r="F5" s="14" t="str">
        <x:v>Complete</x:v>
      </x:c>
      <x:c r="G5" s="20" t="n">
        <x:v>46063</x:v>
      </x:c>
      <x:c r="H5" s="20" t="n">
        <x:v>46070</x:v>
      </x:c>
      <x:c r="I5" s="15" t="n">
        <x:v>1</x:v>
      </x:c>
      <x:c r="J5" s="14" t="str">
        <x:v>HI-002, HI-003</x:v>
      </x:c>
      <x:c r="K5" s="14" t="n">
        <x:f>IF(F5="Complete",0,H5-TODAY())</x:f>
        <x:v>0</x:v>
      </x:c>
      <x:c r="L5" s="14" t="str">
        <x:f>IF(F5="Complete","Green",IF(H5&lt;TODAY(),"Red",IF(H5-TODAY()&lt;=3,"Amber","Green")))</x:f>
        <x:v>Green</x:v>
      </x:c>
      <x:c r="M5" s="14" t="str">
        <x:v>All</x:v>
      </x:c>
      <x:c r="N5" s="14" t="str">
        <x:v>Pre-registration and parallel verification added</x:v>
      </x:c>
    </x:row>
    <x:row r="6">
      <x:c r="A6" s="14" t="str">
        <x:v>HI-005</x:v>
      </x:c>
      <x:c r="B6" s="14" t="str">
        <x:v>Digital Intake</x:v>
      </x:c>
      <x:c r="C6" s="14" t="str">
        <x:v>Configure digital intake forms</x:v>
      </x:c>
      <x:c r="D6" s="14" t="str">
        <x:v>IT Applications Lead</x:v>
      </x:c>
      <x:c r="E6" s="14" t="str">
        <x:v>Critical</x:v>
      </x:c>
      <x:c r="F6" s="14" t="str">
        <x:v>Complete</x:v>
      </x:c>
      <x:c r="G6" s="20" t="n">
        <x:v>46068</x:v>
      </x:c>
      <x:c r="H6" s="20" t="n">
        <x:v>46079</x:v>
      </x:c>
      <x:c r="I6" s="15" t="n">
        <x:v>1</x:v>
      </x:c>
      <x:c r="J6" s="14" t="str">
        <x:v>HI-004</x:v>
      </x:c>
      <x:c r="K6" s="14" t="n">
        <x:f>IF(F6="Complete",0,H6-TODAY())</x:f>
        <x:v>0</x:v>
      </x:c>
      <x:c r="L6" s="14" t="str">
        <x:f>IF(F6="Complete","Green",IF(H6&lt;TODAY(),"Red",IF(H6-TODAY()&lt;=3,"Amber","Green")))</x:f>
        <x:v>Green</x:v>
      </x:c>
      <x:c r="M6" s="14" t="str">
        <x:v>All</x:v>
      </x:c>
      <x:c r="N6" s="14" t="str">
        <x:v>Required fields and validation rules configured</x:v>
      </x:c>
    </x:row>
    <x:row r="7">
      <x:c r="A7" s="14" t="str">
        <x:v>HI-006</x:v>
      </x:c>
      <x:c r="B7" s="14" t="str">
        <x:v>Eligibility</x:v>
      </x:c>
      <x:c r="C7" s="14" t="str">
        <x:v>Pilot pre-arrival insurance verification</x:v>
      </x:c>
      <x:c r="D7" s="14" t="str">
        <x:v>Revenue Cycle Lead</x:v>
      </x:c>
      <x:c r="E7" s="14" t="str">
        <x:v>Critical</x:v>
      </x:c>
      <x:c r="F7" s="14" t="str">
        <x:v>Complete</x:v>
      </x:c>
      <x:c r="G7" s="20" t="n">
        <x:v>46071</x:v>
      </x:c>
      <x:c r="H7" s="20" t="n">
        <x:v>46082</x:v>
      </x:c>
      <x:c r="I7" s="15" t="n">
        <x:v>1</x:v>
      </x:c>
      <x:c r="J7" s="14" t="str">
        <x:v>HI-004</x:v>
      </x:c>
      <x:c r="K7" s="14" t="n">
        <x:f>IF(F7="Complete",0,H7-TODAY())</x:f>
        <x:v>0</x:v>
      </x:c>
      <x:c r="L7" s="14" t="str">
        <x:f>IF(F7="Complete","Green",IF(H7&lt;TODAY(),"Red",IF(H7-TODAY()&lt;=3,"Amber","Green")))</x:f>
        <x:v>Green</x:v>
      </x:c>
      <x:c r="M7" s="14" t="str">
        <x:v>All</x:v>
      </x:c>
      <x:c r="N7" s="14" t="str">
        <x:v>Exception queue created</x:v>
      </x:c>
    </x:row>
    <x:row r="8">
      <x:c r="A8" s="14" t="str">
        <x:v>HI-007</x:v>
      </x:c>
      <x:c r="B8" s="14" t="str">
        <x:v>Training</x:v>
      </x:c>
      <x:c r="C8" s="14" t="str">
        <x:v>Train registration and clinical intake staff</x:v>
      </x:c>
      <x:c r="D8" s="14" t="str">
        <x:v>Training Lead</x:v>
      </x:c>
      <x:c r="E8" s="14" t="str">
        <x:v>High</x:v>
      </x:c>
      <x:c r="F8" s="14" t="str">
        <x:v>Complete</x:v>
      </x:c>
      <x:c r="G8" s="20" t="n">
        <x:v>46076</x:v>
      </x:c>
      <x:c r="H8" s="20" t="n">
        <x:v>46085</x:v>
      </x:c>
      <x:c r="I8" s="15" t="n">
        <x:v>1</x:v>
      </x:c>
      <x:c r="J8" s="14" t="str">
        <x:v>HI-005, HI-006</x:v>
      </x:c>
      <x:c r="K8" s="14" t="n">
        <x:f>IF(F8="Complete",0,H8-TODAY())</x:f>
        <x:v>0</x:v>
      </x:c>
      <x:c r="L8" s="14" t="str">
        <x:f>IF(F8="Complete","Green",IF(H8&lt;TODAY(),"Red",IF(H8-TODAY()&lt;=3,"Amber","Green")))</x:f>
        <x:v>Green</x:v>
      </x:c>
      <x:c r="M8" s="14" t="str">
        <x:v>All</x:v>
      </x:c>
      <x:c r="N8" s="14" t="str">
        <x:v>Job aids and quick reference guide issued</x:v>
      </x:c>
    </x:row>
    <x:row r="9">
      <x:c r="A9" s="14" t="str">
        <x:v>HI-008</x:v>
      </x:c>
      <x:c r="B9" s="14" t="str">
        <x:v>Pilot</x:v>
      </x:c>
      <x:c r="C9" s="14" t="str">
        <x:v>Launch pilot in Cardiology and Imaging</x:v>
      </x:c>
      <x:c r="D9" s="14" t="str">
        <x:v>Project Coordinator</x:v>
      </x:c>
      <x:c r="E9" s="14" t="str">
        <x:v>Critical</x:v>
      </x:c>
      <x:c r="F9" s="14" t="str">
        <x:v>Complete</x:v>
      </x:c>
      <x:c r="G9" s="20" t="n">
        <x:v>46088</x:v>
      </x:c>
      <x:c r="H9" s="20" t="n">
        <x:v>46095</x:v>
      </x:c>
      <x:c r="I9" s="15" t="n">
        <x:v>1</x:v>
      </x:c>
      <x:c r="J9" s="14" t="str">
        <x:v>HI-005, HI-006, HI-007</x:v>
      </x:c>
      <x:c r="K9" s="14" t="n">
        <x:f>IF(F9="Complete",0,H9-TODAY())</x:f>
        <x:v>0</x:v>
      </x:c>
      <x:c r="L9" s="14" t="str">
        <x:f>IF(F9="Complete","Green",IF(H9&lt;TODAY(),"Red",IF(H9-TODAY()&lt;=3,"Amber","Green")))</x:f>
        <x:v>Green</x:v>
      </x:c>
      <x:c r="M9" s="14" t="str">
        <x:v>Cardiology / Imaging</x:v>
      </x:c>
      <x:c r="N9" s="14" t="str">
        <x:v>Pilot metrics captured daily</x:v>
      </x:c>
    </x:row>
    <x:row r="10">
      <x:c r="A10" s="14" t="str">
        <x:v>HI-009</x:v>
      </x:c>
      <x:c r="B10" s="14" t="str">
        <x:v>QA</x:v>
      </x:c>
      <x:c r="C10" s="14" t="str">
        <x:v>Resolve pilot defects and workflow gaps</x:v>
      </x:c>
      <x:c r="D10" s="14" t="str">
        <x:v>IT Applications Lead</x:v>
      </x:c>
      <x:c r="E10" s="14" t="str">
        <x:v>Critical</x:v>
      </x:c>
      <x:c r="F10" s="14" t="str">
        <x:v>Complete</x:v>
      </x:c>
      <x:c r="G10" s="20" t="n">
        <x:v>46091</x:v>
      </x:c>
      <x:c r="H10" s="20" t="n">
        <x:v>46099</x:v>
      </x:c>
      <x:c r="I10" s="15" t="n">
        <x:v>1</x:v>
      </x:c>
      <x:c r="J10" s="14" t="str">
        <x:v>HI-008</x:v>
      </x:c>
      <x:c r="K10" s="14" t="n">
        <x:f>IF(F10="Complete",0,H10-TODAY())</x:f>
        <x:v>0</x:v>
      </x:c>
      <x:c r="L10" s="14" t="str">
        <x:f>IF(F10="Complete","Green",IF(H10&lt;TODAY(),"Red",IF(H10-TODAY()&lt;=3,"Amber","Green")))</x:f>
        <x:v>Green</x:v>
      </x:c>
      <x:c r="M10" s="14" t="str">
        <x:v>Pilot</x:v>
      </x:c>
      <x:c r="N10" s="14" t="str">
        <x:v>Defects triaged by severity</x:v>
      </x:c>
    </x:row>
    <x:row r="11">
      <x:c r="A11" s="14" t="str">
        <x:v>HI-010</x:v>
      </x:c>
      <x:c r="B11" s="14" t="str">
        <x:v>Rollout</x:v>
      </x:c>
      <x:c r="C11" s="14" t="str">
        <x:v>Deploy optimized workflow to remaining departments</x:v>
      </x:c>
      <x:c r="D11" s="14" t="str">
        <x:v>Project Coordinator</x:v>
      </x:c>
      <x:c r="E11" s="14" t="str">
        <x:v>Critical</x:v>
      </x:c>
      <x:c r="F11" s="14" t="str">
        <x:v>Complete</x:v>
      </x:c>
      <x:c r="G11" s="20" t="n">
        <x:v>46100</x:v>
      </x:c>
      <x:c r="H11" s="20" t="n">
        <x:v>46110</x:v>
      </x:c>
      <x:c r="I11" s="15" t="n">
        <x:v>1</x:v>
      </x:c>
      <x:c r="J11" s="14" t="str">
        <x:v>HI-009</x:v>
      </x:c>
      <x:c r="K11" s="14" t="n">
        <x:f>IF(F11="Complete",0,H11-TODAY())</x:f>
        <x:v>0</x:v>
      </x:c>
      <x:c r="L11" s="14" t="str">
        <x:f>IF(F11="Complete","Green",IF(H11&lt;TODAY(),"Red",IF(H11-TODAY()&lt;=3,"Amber","Green")))</x:f>
        <x:v>Green</x:v>
      </x:c>
      <x:c r="M11" s="14" t="str">
        <x:v>Emergency / Surgery / Orthopedics</x:v>
      </x:c>
      <x:c r="N11" s="14" t="str">
        <x:v>Phased rollout</x:v>
      </x:c>
    </x:row>
    <x:row r="12">
      <x:c r="A12" s="14" t="str">
        <x:v>HI-011</x:v>
      </x:c>
      <x:c r="B12" s="14" t="str">
        <x:v>Stabilization</x:v>
      </x:c>
      <x:c r="C12" s="14" t="str">
        <x:v>Monitor adoption and exception trends</x:v>
      </x:c>
      <x:c r="D12" s="14" t="str">
        <x:v>Project Coordinator</x:v>
      </x:c>
      <x:c r="E12" s="14" t="str">
        <x:v>High</x:v>
      </x:c>
      <x:c r="F12" s="14" t="str">
        <x:v>Complete</x:v>
      </x:c>
      <x:c r="G12" s="20" t="n">
        <x:v>46111</x:v>
      </x:c>
      <x:c r="H12" s="20" t="n">
        <x:v>46122</x:v>
      </x:c>
      <x:c r="I12" s="15" t="n">
        <x:v>1</x:v>
      </x:c>
      <x:c r="J12" s="14" t="str">
        <x:v>HI-010</x:v>
      </x:c>
      <x:c r="K12" s="14" t="n">
        <x:f>IF(F12="Complete",0,H12-TODAY())</x:f>
        <x:v>0</x:v>
      </x:c>
      <x:c r="L12" s="14" t="str">
        <x:f>IF(F12="Complete","Green",IF(H12&lt;TODAY(),"Red",IF(H12-TODAY()&lt;=3,"Amber","Green")))</x:f>
        <x:v>Green</x:v>
      </x:c>
      <x:c r="M12" s="14" t="str">
        <x:v>All</x:v>
      </x:c>
      <x:c r="N12" s="14" t="str">
        <x:v>Daily huddles first week</x:v>
      </x:c>
    </x:row>
    <x:row r="13">
      <x:c r="A13" s="14" t="str">
        <x:v>HI-012</x:v>
      </x:c>
      <x:c r="B13" s="14" t="str">
        <x:v>Closeout</x:v>
      </x:c>
      <x:c r="C13" s="14" t="str">
        <x:v>Complete executive closeout and lessons learned</x:v>
      </x:c>
      <x:c r="D13" s="14" t="str">
        <x:v>Project Coordinator</x:v>
      </x:c>
      <x:c r="E13" s="14" t="str">
        <x:v>High</x:v>
      </x:c>
      <x:c r="F13" s="14" t="str">
        <x:v>Complete</x:v>
      </x:c>
      <x:c r="G13" s="20" t="n">
        <x:v>46118</x:v>
      </x:c>
      <x:c r="H13" s="20" t="n">
        <x:v>46125</x:v>
      </x:c>
      <x:c r="I13" s="15" t="n">
        <x:v>1</x:v>
      </x:c>
      <x:c r="J13" s="14" t="str">
        <x:v>HI-011</x:v>
      </x:c>
      <x:c r="K13" s="14" t="n">
        <x:f>IF(F13="Complete",0,H13-TODAY())</x:f>
        <x:v>0</x:v>
      </x:c>
      <x:c r="L13" s="14" t="str">
        <x:f>IF(F13="Complete","Green",IF(H13&lt;TODAY(),"Red",IF(H13-TODAY()&lt;=3,"Amber","Green")))</x:f>
        <x:v>Green</x:v>
      </x:c>
      <x:c r="M13" s="14" t="str">
        <x:v>All</x:v>
      </x:c>
      <x:c r="N13" s="14" t="str">
        <x:v>Closeout accepted</x:v>
      </x:c>
    </x:row>
  </x:sheetData>
  <x:conditionalFormatting sqref="L2:L13">
    <x:cfRule type="expression" dxfId="0" priority="1">
      <x:formula>L2="Red"</x:formula>
    </x:cfRule>
    <x:cfRule type="expression" dxfId="1" priority="2">
      <x:formula>L2="Amber"</x:formula>
    </x:cfRule>
    <x:cfRule type="expression" dxfId="2" priority="3">
      <x:formula>L2="Green"</x:formula>
    </x:cfRule>
  </x:conditionalFormatting>
  <x:dataValidations count="2">
    <x:dataValidation type="list" sqref="E2:E13">
      <x:formula1>"Low,Medium,High,Critical"</x:formula1>
    </x:dataValidation>
    <x:dataValidation type="list" sqref="F2:F13">
      <x:formula1>"Not Started,In Progress,Blocked,Complete"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9" hidden="0" customWidth="1"/>
    <x:col min="3" max="3" width="34" hidden="0" customWidth="1"/>
    <x:col min="4" max="4" width="34" hidden="0" customWidth="1"/>
    <x:col min="5" max="5" width="24" hidden="0" customWidth="1"/>
    <x:col min="6" max="6" width="32" hidden="0" customWidth="1"/>
    <x:col min="7" max="7" width="20" hidden="0" customWidth="1"/>
    <x:col min="8" max="8" width="11" hidden="0" customWidth="1"/>
    <x:col min="9" max="9" width="14" hidden="0" customWidth="1"/>
  </x:cols>
  <x:sheetData>
    <x:row r="1">
      <x:c r="A1" s="8" t="str">
        <x:v>Finding ID</x:v>
      </x:c>
      <x:c r="B1" s="8" t="str">
        <x:v>As-Is Step</x:v>
      </x:c>
      <x:c r="C1" s="8" t="str">
        <x:v>Observed Problem</x:v>
      </x:c>
      <x:c r="D1" s="8" t="str">
        <x:v>Root Cause</x:v>
      </x:c>
      <x:c r="E1" s="8" t="str">
        <x:v>Impact</x:v>
      </x:c>
      <x:c r="F1" s="8" t="str">
        <x:v>To-Be Change</x:v>
      </x:c>
      <x:c r="G1" s="8" t="str">
        <x:v>Owner</x:v>
      </x:c>
      <x:c r="H1" s="8" t="str">
        <x:v>Priority</x:v>
      </x:c>
      <x:c r="I1" s="8" t="str">
        <x:v>Status</x:v>
      </x:c>
    </x:row>
    <x:row r="2">
      <x:c r="A2" s="14" t="str">
        <x:v>WF-01</x:v>
      </x:c>
      <x:c r="B2" s="14" t="str">
        <x:v>Patient forms</x:v>
      </x:c>
      <x:c r="C2" s="14" t="str">
        <x:v>Paper and portal forms duplicated information</x:v>
      </x:c>
      <x:c r="D2" s="14" t="str">
        <x:v>Multiple intake channels not standardized</x:v>
      </x:c>
      <x:c r="E2" s="14" t="str">
        <x:v>Rework + data entry delay</x:v>
      </x:c>
      <x:c r="F2" s="14" t="str">
        <x:v>Single digital form with validation</x:v>
      </x:c>
      <x:c r="G2" s="14" t="str">
        <x:v>IT Applications Lead</x:v>
      </x:c>
      <x:c r="H2" s="14" t="str">
        <x:v>Critical</x:v>
      </x:c>
      <x:c r="I2" s="14" t="str">
        <x:v>Implemented</x:v>
      </x:c>
    </x:row>
    <x:row r="3">
      <x:c r="A3" s="14" t="str">
        <x:v>WF-02</x:v>
      </x:c>
      <x:c r="B3" s="14" t="str">
        <x:v>Insurance verification</x:v>
      </x:c>
      <x:c r="C3" s="14" t="str">
        <x:v>Verification often began after arrival</x:v>
      </x:c>
      <x:c r="D3" s="14" t="str">
        <x:v>No pre-arrival queue ownership</x:v>
      </x:c>
      <x:c r="E3" s="14" t="str">
        <x:v>Check-in delays</x:v>
      </x:c>
      <x:c r="F3" s="14" t="str">
        <x:v>Pre-arrival eligibility work queue</x:v>
      </x:c>
      <x:c r="G3" s="14" t="str">
        <x:v>Revenue Cycle Lead</x:v>
      </x:c>
      <x:c r="H3" s="14" t="str">
        <x:v>Critical</x:v>
      </x:c>
      <x:c r="I3" s="14" t="str">
        <x:v>Implemented</x:v>
      </x:c>
    </x:row>
    <x:row r="4">
      <x:c r="A4" s="14" t="str">
        <x:v>WF-03</x:v>
      </x:c>
      <x:c r="B4" s="14" t="str">
        <x:v>Registration</x:v>
      </x:c>
      <x:c r="C4" s="14" t="str">
        <x:v>Staff re-entered demographic fields</x:v>
      </x:c>
      <x:c r="D4" s="14" t="str">
        <x:v>Interfaces did not prepopulate consistently</x:v>
      </x:c>
      <x:c r="E4" s="14" t="str">
        <x:v>Longer registration time</x:v>
      </x:c>
      <x:c r="F4" s="14" t="str">
        <x:v>Prepopulate verified demographics</x:v>
      </x:c>
      <x:c r="G4" s="14" t="str">
        <x:v>IT Applications Lead</x:v>
      </x:c>
      <x:c r="H4" s="14" t="str">
        <x:v>High</x:v>
      </x:c>
      <x:c r="I4" s="14" t="str">
        <x:v>Implemented</x:v>
      </x:c>
    </x:row>
    <x:row r="5">
      <x:c r="A5" s="14" t="str">
        <x:v>WF-04</x:v>
      </x:c>
      <x:c r="B5" s="14" t="str">
        <x:v>Clinical handoff</x:v>
      </x:c>
      <x:c r="C5" s="14" t="str">
        <x:v>Triage staff received incomplete intake packet</x:v>
      </x:c>
      <x:c r="D5" s="14" t="str">
        <x:v>No standard readiness checklist</x:v>
      </x:c>
      <x:c r="E5" s="14" t="str">
        <x:v>Handoff delay</x:v>
      </x:c>
      <x:c r="F5" s="14" t="str">
        <x:v>Intake readiness checklist</x:v>
      </x:c>
      <x:c r="G5" s="14" t="str">
        <x:v>Nursing Lead</x:v>
      </x:c>
      <x:c r="H5" s="14" t="str">
        <x:v>High</x:v>
      </x:c>
      <x:c r="I5" s="14" t="str">
        <x:v>Implemented</x:v>
      </x:c>
    </x:row>
    <x:row r="6">
      <x:c r="A6" s="14" t="str">
        <x:v>WF-05</x:v>
      </x:c>
      <x:c r="B6" s="14" t="str">
        <x:v>Exceptions</x:v>
      </x:c>
      <x:c r="C6" s="14" t="str">
        <x:v>Missing fields surfaced late</x:v>
      </x:c>
      <x:c r="D6" s="14" t="str">
        <x:v>Validation occurred at final submit</x:v>
      </x:c>
      <x:c r="E6" s="14" t="str">
        <x:v>Repeat patient contact</x:v>
      </x:c>
      <x:c r="F6" s="14" t="str">
        <x:v>Real-time required-field validation</x:v>
      </x:c>
      <x:c r="G6" s="14" t="str">
        <x:v>IT Applications Lead</x:v>
      </x:c>
      <x:c r="H6" s="14" t="str">
        <x:v>High</x:v>
      </x:c>
      <x:c r="I6" s="14" t="str">
        <x:v>Implemented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38" hidden="0" customWidth="1"/>
    <x:col min="4" max="4" width="10" hidden="0" customWidth="1"/>
    <x:col min="5" max="5" width="12" hidden="0" customWidth="1"/>
    <x:col min="6" max="6" width="9" hidden="0" customWidth="1"/>
    <x:col min="7" max="7" width="21" hidden="0" customWidth="1"/>
    <x:col min="8" max="8" width="42" hidden="0" customWidth="1"/>
    <x:col min="9" max="9" width="13" hidden="0" customWidth="1"/>
    <x:col min="10" max="10" width="12" hidden="0" customWidth="1"/>
    <x:col min="11" max="11" width="12" hidden="0" customWidth="1"/>
    <x:col min="12" max="12" width="14" hidden="0" customWidth="1"/>
    <x:col min="13" max="13" width="12" hidden="0" customWidth="1"/>
  </x:cols>
  <x:sheetData>
    <x:row r="1">
      <x:c r="A1" s="8" t="str">
        <x:v>RAID ID</x:v>
      </x:c>
      <x:c r="B1" s="8" t="str">
        <x:v>Type</x:v>
      </x:c>
      <x:c r="C1" s="8" t="str">
        <x:v>Description</x:v>
      </x:c>
      <x:c r="D1" s="8" t="str">
        <x:v>Impact</x:v>
      </x:c>
      <x:c r="E1" s="8" t="str">
        <x:v>Probability</x:v>
      </x:c>
      <x:c r="F1" s="8" t="str">
        <x:v>Score</x:v>
      </x:c>
      <x:c r="G1" s="8" t="str">
        <x:v>Owner</x:v>
      </x:c>
      <x:c r="H1" s="8" t="str">
        <x:v>Response / Mitigation</x:v>
      </x:c>
      <x:c r="I1" s="8" t="str">
        <x:v>Target Date</x:v>
      </x:c>
      <x:c r="J1" s="8" t="str">
        <x:v>Status</x:v>
      </x:c>
      <x:c r="K1" s="8" t="str">
        <x:v>Escalation</x:v>
      </x:c>
      <x:c r="L1" s="8" t="str">
        <x:v>Days to Target</x:v>
      </x:c>
      <x:c r="M1" s="8" t="str">
        <x:v>Risk Level</x:v>
      </x:c>
    </x:row>
    <x:row r="2">
      <x:c r="A2" s="14" t="str">
        <x:v>R-01</x:v>
      </x:c>
      <x:c r="B2" s="14" t="str">
        <x:v>Risk</x:v>
      </x:c>
      <x:c r="C2" s="14" t="str">
        <x:v>Digital form adoption may be lower in Emergency Intake</x:v>
      </x:c>
      <x:c r="D2" s="14" t="n">
        <x:v>4</x:v>
      </x:c>
      <x:c r="E2" s="14" t="n">
        <x:v>3</x:v>
      </x:c>
      <x:c r="F2" s="14" t="n">
        <x:f>D2*E2</x:f>
        <x:v>12</x:v>
      </x:c>
      <x:c r="G2" s="14" t="str">
        <x:v>Registration Manager</x:v>
      </x:c>
      <x:c r="H2" s="14" t="str">
        <x:v>Add assisted digital intake station and staff script</x:v>
      </x:c>
      <x:c r="I2" s="20" t="n">
        <x:v>46095</x:v>
      </x:c>
      <x:c r="J2" s="14" t="str">
        <x:v>Closed</x:v>
      </x:c>
      <x:c r="K2" s="14" t="str">
        <x:v>No</x:v>
      </x:c>
      <x:c r="L2" s="14" t="n">
        <x:f>IF(OR(J2="Closed",J2="Complete",J2="Validated"),0,I2-TODAY())</x:f>
        <x:v>0</x:v>
      </x:c>
      <x:c r="M2" s="14" t="str">
        <x:f>IF(F2&gt;=15,"Critical",IF(F2&gt;=10,"High",IF(F2&gt;=5,"Medium","Low")))</x:f>
        <x:v>High</x:v>
      </x:c>
    </x:row>
    <x:row r="3">
      <x:c r="A3" s="14" t="str">
        <x:v>R-02</x:v>
      </x:c>
      <x:c r="B3" s="14" t="str">
        <x:v>Risk</x:v>
      </x:c>
      <x:c r="C3" s="14" t="str">
        <x:v>Insurance verification backlog could shift delays upstream</x:v>
      </x:c>
      <x:c r="D3" s="14" t="n">
        <x:v>5</x:v>
      </x:c>
      <x:c r="E3" s="14" t="n">
        <x:v>3</x:v>
      </x:c>
      <x:c r="F3" s="14" t="n">
        <x:f>D3*E3</x:f>
        <x:v>15</x:v>
      </x:c>
      <x:c r="G3" s="14" t="str">
        <x:v>Revenue Cycle Lead</x:v>
      </x:c>
      <x:c r="H3" s="14" t="str">
        <x:v>Daily queue threshold and backup coverage</x:v>
      </x:c>
      <x:c r="I3" s="20" t="n">
        <x:v>46088</x:v>
      </x:c>
      <x:c r="J3" s="14" t="str">
        <x:v>Closed</x:v>
      </x:c>
      <x:c r="K3" s="14" t="str">
        <x:v>Yes</x:v>
      </x:c>
      <x:c r="L3" s="14" t="n">
        <x:f>IF(OR(J3="Closed",J3="Complete",J3="Validated"),0,I3-TODAY())</x:f>
        <x:v>0</x:v>
      </x:c>
      <x:c r="M3" s="14" t="str">
        <x:f>IF(F3&gt;=15,"Critical",IF(F3&gt;=10,"High",IF(F3&gt;=5,"Medium","Low")))</x:f>
        <x:v>Critical</x:v>
      </x:c>
    </x:row>
    <x:row r="4">
      <x:c r="A4" s="14" t="str">
        <x:v>R-03</x:v>
      </x:c>
      <x:c r="B4" s="14" t="str">
        <x:v>Risk</x:v>
      </x:c>
      <x:c r="C4" s="14" t="str">
        <x:v>Workflow change may create inconsistent department practices</x:v>
      </x:c>
      <x:c r="D4" s="14" t="n">
        <x:v>4</x:v>
      </x:c>
      <x:c r="E4" s="14" t="n">
        <x:v>3</x:v>
      </x:c>
      <x:c r="F4" s="14" t="n">
        <x:f>D4*E4</x:f>
        <x:v>12</x:v>
      </x:c>
      <x:c r="G4" s="14" t="str">
        <x:v>Project Coordinator</x:v>
      </x:c>
      <x:c r="H4" s="14" t="str">
        <x:v>Standard work, training, audit checklist</x:v>
      </x:c>
      <x:c r="I4" s="20" t="n">
        <x:v>46110</x:v>
      </x:c>
      <x:c r="J4" s="14" t="str">
        <x:v>Closed</x:v>
      </x:c>
      <x:c r="K4" s="14" t="str">
        <x:v>No</x:v>
      </x:c>
      <x:c r="L4" s="14" t="n">
        <x:f>IF(OR(J4="Closed",J4="Complete",J4="Validated"),0,I4-TODAY())</x:f>
        <x:v>0</x:v>
      </x:c>
      <x:c r="M4" s="14" t="str">
        <x:f>IF(F4&gt;=15,"Critical",IF(F4&gt;=10,"High",IF(F4&gt;=5,"Medium","Low")))</x:f>
        <x:v>High</x:v>
      </x:c>
    </x:row>
    <x:row r="5">
      <x:c r="A5" s="14" t="str">
        <x:v>I-01</x:v>
      </x:c>
      <x:c r="B5" s="14" t="str">
        <x:v>Issue</x:v>
      </x:c>
      <x:c r="C5" s="14" t="str">
        <x:v>Pilot exposed duplicate guarantor field mapping</x:v>
      </x:c>
      <x:c r="D5" s="14" t="n">
        <x:v>5</x:v>
      </x:c>
      <x:c r="E5" s="14" t="n">
        <x:v>4</x:v>
      </x:c>
      <x:c r="F5" s="14" t="n">
        <x:f>D5*E5</x:f>
        <x:v>20</x:v>
      </x:c>
      <x:c r="G5" s="14" t="str">
        <x:v>IT Applications Lead</x:v>
      </x:c>
      <x:c r="H5" s="14" t="str">
        <x:v>Correct mapping and retest all intake pathways</x:v>
      </x:c>
      <x:c r="I5" s="20" t="n">
        <x:v>46097</x:v>
      </x:c>
      <x:c r="J5" s="14" t="str">
        <x:v>Closed</x:v>
      </x:c>
      <x:c r="K5" s="14" t="str">
        <x:v>Yes</x:v>
      </x:c>
      <x:c r="L5" s="14" t="n">
        <x:f>IF(OR(J5="Closed",J5="Complete",J5="Validated"),0,I5-TODAY())</x:f>
        <x:v>0</x:v>
      </x:c>
      <x:c r="M5" s="14" t="str">
        <x:f>IF(F5&gt;=15,"Critical",IF(F5&gt;=10,"High",IF(F5&gt;=5,"Medium","Low")))</x:f>
        <x:v>Critical</x:v>
      </x:c>
    </x:row>
    <x:row r="6">
      <x:c r="A6" s="14" t="str">
        <x:v>D-01</x:v>
      </x:c>
      <x:c r="B6" s="14" t="str">
        <x:v>Dependency</x:v>
      </x:c>
      <x:c r="C6" s="14" t="str">
        <x:v>Clinical leadership approval required before full rollout</x:v>
      </x:c>
      <x:c r="D6" s="14" t="n">
        <x:v>5</x:v>
      </x:c>
      <x:c r="E6" s="14" t="n">
        <x:v>4</x:v>
      </x:c>
      <x:c r="F6" s="14" t="n">
        <x:f>D6*E6</x:f>
        <x:v>20</x:v>
      </x:c>
      <x:c r="G6" s="14" t="str">
        <x:v>Clinical Operations Lead</x:v>
      </x:c>
      <x:c r="H6" s="14" t="str">
        <x:v>Readiness review with pilot evidence</x:v>
      </x:c>
      <x:c r="I6" s="20" t="n">
        <x:v>46099</x:v>
      </x:c>
      <x:c r="J6" s="14" t="str">
        <x:v>Complete</x:v>
      </x:c>
      <x:c r="K6" s="14" t="str">
        <x:v>Yes</x:v>
      </x:c>
      <x:c r="L6" s="14" t="n">
        <x:f>IF(OR(J6="Closed",J6="Complete",J6="Validated"),0,I6-TODAY())</x:f>
        <x:v>0</x:v>
      </x:c>
      <x:c r="M6" s="14" t="str">
        <x:f>IF(F6&gt;=15,"Critical",IF(F6&gt;=10,"High",IF(F6&gt;=5,"Medium","Low")))</x:f>
        <x:v>Critical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2" hidden="0" customWidth="1"/>
    <x:col min="5" max="5" width="14" hidden="0" customWidth="1"/>
    <x:col min="6" max="6" width="34" hidden="0" customWidth="1"/>
    <x:col min="7" max="7" width="21" hidden="0" customWidth="1"/>
    <x:col min="8" max="8" width="12" hidden="0" customWidth="1"/>
    <x:col min="9" max="9" width="20" hidden="0" customWidth="1"/>
  </x:cols>
  <x:sheetData>
    <x:row r="1">
      <x:c r="A1" s="8" t="str">
        <x:v>Milestone</x:v>
      </x:c>
      <x:c r="B1" s="8" t="str">
        <x:v>Baseline Date</x:v>
      </x:c>
      <x:c r="C1" s="8" t="str">
        <x:v>Actual Date</x:v>
      </x:c>
      <x:c r="D1" s="8" t="str">
        <x:v>Status</x:v>
      </x:c>
      <x:c r="E1" s="8" t="str">
        <x:v>Days Variance</x:v>
      </x:c>
      <x:c r="F1" s="8" t="str">
        <x:v>Exit Criteria</x:v>
      </x:c>
      <x:c r="G1" s="8" t="str">
        <x:v>Owner</x:v>
      </x:c>
      <x:c r="H1" s="8" t="str">
        <x:v>On-Time?</x:v>
      </x:c>
      <x:c r="I1" s="8" t="str">
        <x:v>Schedule Performance</x:v>
      </x:c>
    </x:row>
    <x:row r="2">
      <x:c r="A2" s="14" t="str">
        <x:v>Charter Approved</x:v>
      </x:c>
      <x:c r="B2" s="20" t="n">
        <x:v>46057</x:v>
      </x:c>
      <x:c r="C2" s="20" t="n">
        <x:v>46057</x:v>
      </x:c>
      <x:c r="D2" s="14" t="str">
        <x:v>Complete</x:v>
      </x:c>
      <x:c r="E2" s="14" t="n">
        <x:f>IF(C2="","",C2-B2)</x:f>
        <x:v>0</x:v>
      </x:c>
      <x:c r="F2" s="14" t="str">
        <x:v>Sponsor approval</x:v>
      </x:c>
      <x:c r="G2" s="14" t="str">
        <x:v>Project Coordinator</x:v>
      </x:c>
      <x:c r="H2" s="14" t="str">
        <x:f>IF(C2="","Pending",IF(C2&lt;=B2,"Yes","No"))</x:f>
        <x:v>Yes</x:v>
      </x:c>
      <x:c r="I2" s="14" t="str">
        <x:f>IF(C2="","",IF(E2&lt;=0,"On/Ahead",IF(E2&lt;=2,"Minor Delay","Delayed")))</x:f>
        <x:v>On/Ahead</x:v>
      </x:c>
    </x:row>
    <x:row r="3">
      <x:c r="A3" s="14" t="str">
        <x:v>As-Is Mapping Complete</x:v>
      </x:c>
      <x:c r="B3" s="20" t="n">
        <x:v>46062</x:v>
      </x:c>
      <x:c r="C3" s="20" t="n">
        <x:v>46062</x:v>
      </x:c>
      <x:c r="D3" s="14" t="str">
        <x:v>Complete</x:v>
      </x:c>
      <x:c r="E3" s="14" t="n">
        <x:f>IF(C3="","",C3-B3)</x:f>
        <x:v>0</x:v>
      </x:c>
      <x:c r="F3" s="14" t="str">
        <x:v>Validated workflow map</x:v>
      </x:c>
      <x:c r="G3" s="14" t="str">
        <x:v>Business Analyst</x:v>
      </x:c>
      <x:c r="H3" s="14" t="str">
        <x:f>IF(C3="","Pending",IF(C3&lt;=B3,"Yes","No"))</x:f>
        <x:v>Yes</x:v>
      </x:c>
      <x:c r="I3" s="14" t="str">
        <x:f>IF(C3="","",IF(E3&lt;=0,"On/Ahead",IF(E3&lt;=2,"Minor Delay","Delayed")))</x:f>
        <x:v>On/Ahead</x:v>
      </x:c>
    </x:row>
    <x:row r="4">
      <x:c r="A4" s="14" t="str">
        <x:v>To-Be Design Approved</x:v>
      </x:c>
      <x:c r="B4" s="20" t="n">
        <x:v>46070</x:v>
      </x:c>
      <x:c r="C4" s="20" t="n">
        <x:v>46071</x:v>
      </x:c>
      <x:c r="D4" s="14" t="str">
        <x:v>Complete</x:v>
      </x:c>
      <x:c r="E4" s="14" t="n">
        <x:f>IF(C4="","",C4-B4)</x:f>
        <x:v>1</x:v>
      </x:c>
      <x:c r="F4" s="14" t="str">
        <x:v>Operations and clinical sign-off</x:v>
      </x:c>
      <x:c r="G4" s="14" t="str">
        <x:v>Process Improvement Lead</x:v>
      </x:c>
      <x:c r="H4" s="14" t="str">
        <x:f>IF(C4="","Pending",IF(C4&lt;=B4,"Yes","No"))</x:f>
        <x:v>No</x:v>
      </x:c>
      <x:c r="I4" s="14" t="str">
        <x:f>IF(C4="","",IF(E4&lt;=0,"On/Ahead",IF(E4&lt;=2,"Minor Delay","Delayed")))</x:f>
        <x:v>Minor Delay</x:v>
      </x:c>
    </x:row>
    <x:row r="5">
      <x:c r="A5" s="14" t="str">
        <x:v>Pilot Ready</x:v>
      </x:c>
      <x:c r="B5" s="20" t="n">
        <x:v>46088</x:v>
      </x:c>
      <x:c r="C5" s="20" t="n">
        <x:v>46087</x:v>
      </x:c>
      <x:c r="D5" s="14" t="str">
        <x:v>Complete</x:v>
      </x:c>
      <x:c r="E5" s="14" t="n">
        <x:f>IF(C5="","",C5-B5)</x:f>
        <x:v>-1</x:v>
      </x:c>
      <x:c r="F5" s="14" t="str">
        <x:v>Forms, training, eligibility queue ready</x:v>
      </x:c>
      <x:c r="G5" s="14" t="str">
        <x:v>Project Coordinator</x:v>
      </x:c>
      <x:c r="H5" s="14" t="str">
        <x:f>IF(C5="","Pending",IF(C5&lt;=B5,"Yes","No"))</x:f>
        <x:v>Yes</x:v>
      </x:c>
      <x:c r="I5" s="14" t="str">
        <x:f>IF(C5="","",IF(E5&lt;=0,"On/Ahead",IF(E5&lt;=2,"Minor Delay","Delayed")))</x:f>
        <x:v>On/Ahead</x:v>
      </x:c>
    </x:row>
    <x:row r="6">
      <x:c r="A6" s="14" t="str">
        <x:v>Pilot Exit</x:v>
      </x:c>
      <x:c r="B6" s="20" t="n">
        <x:v>46099</x:v>
      </x:c>
      <x:c r="C6" s="20" t="n">
        <x:v>46099</x:v>
      </x:c>
      <x:c r="D6" s="14" t="str">
        <x:v>Complete</x:v>
      </x:c>
      <x:c r="E6" s="14" t="n">
        <x:f>IF(C6="","",C6-B6)</x:f>
        <x:v>0</x:v>
      </x:c>
      <x:c r="F6" s="14" t="str">
        <x:v>Critical defects resolved</x:v>
      </x:c>
      <x:c r="G6" s="14" t="str">
        <x:v>Clinical Operations Lead</x:v>
      </x:c>
      <x:c r="H6" s="14" t="str">
        <x:f>IF(C6="","Pending",IF(C6&lt;=B6,"Yes","No"))</x:f>
        <x:v>Yes</x:v>
      </x:c>
      <x:c r="I6" s="14" t="str">
        <x:f>IF(C6="","",IF(E6&lt;=0,"On/Ahead",IF(E6&lt;=2,"Minor Delay","Delayed")))</x:f>
        <x:v>On/Ahead</x:v>
      </x:c>
    </x:row>
    <x:row r="7">
      <x:c r="A7" s="14" t="str">
        <x:v>Full Rollout Complete</x:v>
      </x:c>
      <x:c r="B7" s="20" t="n">
        <x:v>46110</x:v>
      </x:c>
      <x:c r="C7" s="20" t="n">
        <x:v>46110</x:v>
      </x:c>
      <x:c r="D7" s="14" t="str">
        <x:v>Complete</x:v>
      </x:c>
      <x:c r="E7" s="14" t="n">
        <x:f>IF(C7="","",C7-B7)</x:f>
        <x:v>0</x:v>
      </x:c>
      <x:c r="F7" s="14" t="str">
        <x:v>All departments live</x:v>
      </x:c>
      <x:c r="G7" s="14" t="str">
        <x:v>Project Coordinator</x:v>
      </x:c>
      <x:c r="H7" s="14" t="str">
        <x:f>IF(C7="","Pending",IF(C7&lt;=B7,"Yes","No"))</x:f>
        <x:v>Yes</x:v>
      </x:c>
      <x:c r="I7" s="14" t="str">
        <x:f>IF(C7="","",IF(E7&lt;=0,"On/Ahead",IF(E7&lt;=2,"Minor Delay","Delayed")))</x:f>
        <x:v>On/Ahead</x:v>
      </x:c>
    </x:row>
    <x:row r="8">
      <x:c r="A8" s="14" t="str">
        <x:v>Executive Closeout</x:v>
      </x:c>
      <x:c r="B8" s="20" t="n">
        <x:v>46125</x:v>
      </x:c>
      <x:c r="C8" s="20" t="n">
        <x:v>46125</x:v>
      </x:c>
      <x:c r="D8" s="14" t="str">
        <x:v>Complete</x:v>
      </x:c>
      <x:c r="E8" s="14" t="n">
        <x:f>IF(C8="","",C8-B8)</x:f>
        <x:v>0</x:v>
      </x:c>
      <x:c r="F8" s="14" t="str">
        <x:v>Closeout accepted</x:v>
      </x:c>
      <x:c r="G8" s="14" t="str">
        <x:v>Project Coordinator</x:v>
      </x:c>
      <x:c r="H8" s="14" t="str">
        <x:f>IF(C8="","Pending",IF(C8&lt;=B8,"Yes","No"))</x:f>
        <x:v>Yes</x:v>
      </x:c>
      <x:c r="I8" s="14" t="str">
        <x:f>IF(C8="","",IF(E8&lt;=0,"On/Ahead",IF(E8&lt;=2,"Minor Delay","Delayed")))</x:f>
        <x:v>On/Ahead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4" hidden="0" customWidth="1"/>
    <x:col min="4" max="4" width="14" hidden="0" customWidth="1"/>
    <x:col min="5" max="5" width="13" hidden="0" customWidth="1"/>
    <x:col min="6" max="6" width="22" hidden="0" customWidth="1"/>
    <x:col min="7" max="7" width="34" hidden="0" customWidth="1"/>
  </x:cols>
  <x:sheetData>
    <x:row r="1">
      <x:c r="A1" s="8" t="str">
        <x:v>Category</x:v>
      </x:c>
      <x:c r="B1" s="8" t="str">
        <x:v>Baseline Budget</x:v>
      </x:c>
      <x:c r="C1" s="8" t="str">
        <x:v>Actual Cost</x:v>
      </x:c>
      <x:c r="D1" s="8" t="str">
        <x:v>Variance</x:v>
      </x:c>
      <x:c r="E1" s="8" t="str">
        <x:v>Variance %</x:v>
      </x:c>
      <x:c r="F1" s="8" t="str">
        <x:v>Forecast at Completion</x:v>
      </x:c>
      <x:c r="G1" s="8" t="str">
        <x:v>Notes</x:v>
      </x:c>
    </x:row>
    <x:row r="2">
      <x:c r="A2" s="14" t="str">
        <x:v>Workflow Analysis &amp; Design</x:v>
      </x:c>
      <x:c r="B2" s="38" t="n">
        <x:v>18000</x:v>
      </x:c>
      <x:c r="C2" s="38" t="n">
        <x:v>17400</x:v>
      </x:c>
      <x:c r="D2" s="38" t="n">
        <x:f>B2-C2</x:f>
        <x:v>600</x:v>
      </x:c>
      <x:c r="E2" s="15" t="n">
        <x:f>IFERROR(D2/B2,0)</x:f>
        <x:v>0.03333333333333333</x:v>
      </x:c>
      <x:c r="F2" s="38" t="n">
        <x:f>C2</x:f>
        <x:v>17400</x:v>
      </x:c>
      <x:c r="G2" s="14" t="str">
        <x:v>Within plan</x:v>
      </x:c>
    </x:row>
    <x:row r="3">
      <x:c r="A3" s="14" t="str">
        <x:v>Digital Intake Configuration</x:v>
      </x:c>
      <x:c r="B3" s="38" t="n">
        <x:v>26000</x:v>
      </x:c>
      <x:c r="C3" s="38" t="n">
        <x:v>27150</x:v>
      </x:c>
      <x:c r="D3" s="38" t="n">
        <x:f>B3-C3</x:f>
        <x:v>-1150</x:v>
      </x:c>
      <x:c r="E3" s="15" t="n">
        <x:f>IFERROR(D3/B3,0)</x:f>
        <x:v>-0.04423076923076923</x:v>
      </x:c>
      <x:c r="F3" s="38" t="n">
        <x:f>C3</x:f>
        <x:v>27150</x:v>
      </x:c>
      <x:c r="G3" s="14" t="str">
        <x:v>Additional mapping fix during pilot</x:v>
      </x:c>
    </x:row>
    <x:row r="4">
      <x:c r="A4" s="14" t="str">
        <x:v>Eligibility Workflow Setup</x:v>
      </x:c>
      <x:c r="B4" s="38" t="n">
        <x:v>15000</x:v>
      </x:c>
      <x:c r="C4" s="38" t="n">
        <x:v>14400</x:v>
      </x:c>
      <x:c r="D4" s="38" t="n">
        <x:f>B4-C4</x:f>
        <x:v>600</x:v>
      </x:c>
      <x:c r="E4" s="15" t="n">
        <x:f>IFERROR(D4/B4,0)</x:f>
        <x:v>0.04</x:v>
      </x:c>
      <x:c r="F4" s="38" t="n">
        <x:f>C4</x:f>
        <x:v>14400</x:v>
      </x:c>
      <x:c r="G4" s="14" t="str">
        <x:v>Below baseline</x:v>
      </x:c>
    </x:row>
    <x:row r="5">
      <x:c r="A5" s="14" t="str">
        <x:v>Training &amp; Change Management</x:v>
      </x:c>
      <x:c r="B5" s="38" t="n">
        <x:v>16000</x:v>
      </x:c>
      <x:c r="C5" s="38" t="n">
        <x:v>15350</x:v>
      </x:c>
      <x:c r="D5" s="38" t="n">
        <x:f>B5-C5</x:f>
        <x:v>650</x:v>
      </x:c>
      <x:c r="E5" s="15" t="n">
        <x:f>IFERROR(D5/B5,0)</x:f>
        <x:v>0.040625</x:v>
      </x:c>
      <x:c r="F5" s="38" t="n">
        <x:f>C5</x:f>
        <x:v>15350</x:v>
      </x:c>
      <x:c r="G5" s="14" t="str">
        <x:v>Virtual sessions reduced cost</x:v>
      </x:c>
    </x:row>
    <x:row r="6">
      <x:c r="A6" s="14" t="str">
        <x:v>Pilot &amp; QA</x:v>
      </x:c>
      <x:c r="B6" s="38" t="n">
        <x:v>12000</x:v>
      </x:c>
      <x:c r="C6" s="38" t="n">
        <x:v>11800</x:v>
      </x:c>
      <x:c r="D6" s="38" t="n">
        <x:f>B6-C6</x:f>
        <x:v>200</x:v>
      </x:c>
      <x:c r="E6" s="15" t="n">
        <x:f>IFERROR(D6/B6,0)</x:f>
        <x:v>0.016666666666666666</x:v>
      </x:c>
      <x:c r="F6" s="38" t="n">
        <x:f>C6</x:f>
        <x:v>11800</x:v>
      </x:c>
      <x:c r="G6" s="14" t="str">
        <x:v>Within plan</x:v>
      </x:c>
    </x:row>
    <x:row r="7">
      <x:c r="A7" s="14" t="str">
        <x:v>Rollout &amp; Stabilization</x:v>
      </x:c>
      <x:c r="B7" s="38" t="n">
        <x:v>18000</x:v>
      </x:c>
      <x:c r="C7" s="38" t="n">
        <x:v>17050</x:v>
      </x:c>
      <x:c r="D7" s="38" t="n">
        <x:f>B7-C7</x:f>
        <x:v>950</x:v>
      </x:c>
      <x:c r="E7" s="15" t="n">
        <x:f>IFERROR(D7/B7,0)</x:f>
        <x:v>0.05277777777777778</x:v>
      </x:c>
      <x:c r="F7" s="38" t="n">
        <x:f>C7</x:f>
        <x:v>17050</x:v>
      </x:c>
      <x:c r="G7" s="14" t="str">
        <x:v>Lower overtime than planned</x:v>
      </x:c>
    </x:row>
    <x:row r="8">
      <x:c r="A8" s="14"/>
      <x:c r="B8" s="38"/>
      <x:c r="C8" s="38"/>
      <x:c r="D8" s="38"/>
      <x:c r="E8" s="15"/>
      <x:c r="F8" s="38"/>
      <x:c r="G8" s="14"/>
    </x:row>
    <x:row r="9">
      <x:c r="A9" s="26" t="str">
        <x:v>Summary</x:v>
      </x:c>
      <x:c r="B9" s="33" t="str">
        <x:v>Baseline</x:v>
      </x:c>
      <x:c r="C9" s="33" t="str">
        <x:v>Actual / Forecast</x:v>
      </x:c>
      <x:c r="D9" s="33" t="str">
        <x:v>Variance</x:v>
      </x:c>
      <x:c r="E9" s="36" t="str">
        <x:v>Variance %</x:v>
      </x:c>
      <x:c r="F9" s="33" t="str">
        <x:v>Forecast</x:v>
      </x:c>
      <x:c r="G9" s="14"/>
    </x:row>
    <x:row r="10">
      <x:c r="A10" s="14" t="str">
        <x:v>Total</x:v>
      </x:c>
      <x:c r="B10" s="38" t="n">
        <x:f>SUM(B2:B7)</x:f>
        <x:v>105000</x:v>
      </x:c>
      <x:c r="C10" s="38" t="n">
        <x:f>SUM(C2:C7)</x:f>
        <x:v>103150</x:v>
      </x:c>
      <x:c r="D10" s="38" t="n">
        <x:f>B10-C10</x:f>
        <x:v>1850</x:v>
      </x:c>
      <x:c r="E10" s="15" t="n">
        <x:f>IFERROR(D10/B10,0)</x:f>
        <x:v>0.017619047619047618</x:v>
      </x:c>
      <x:c r="F10" s="38" t="n">
        <x:f>SUM(F2:F7)</x:f>
        <x:v>103150</x:v>
      </x:c>
      <x:c r="G10" s="14"/>
    </x:row>
    <x:row r="11">
      <x:c r="A11" s="14" t="str">
        <x:v>Contingency</x:v>
      </x:c>
      <x:c r="B11" s="38" t="n">
        <x:v>8000</x:v>
      </x:c>
      <x:c r="C11" s="38" t="n">
        <x:f>B11+D10</x:f>
        <x:v>9850</x:v>
      </x:c>
      <x:c r="D11" s="38"/>
      <x:c r="E11" s="14"/>
      <x:c r="F11" s="14"/>
      <x:c r="G11" s="14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20" hidden="0" customWidth="1"/>
    <x:col min="3" max="3" width="13" hidden="0" customWidth="1"/>
    <x:col min="4" max="4" width="13" hidden="0" customWidth="1"/>
    <x:col min="5" max="5" width="22" hidden="0" customWidth="1"/>
    <x:col min="6" max="6" width="18" hidden="0" customWidth="1"/>
    <x:col min="7" max="7" width="20" hidden="0" customWidth="1"/>
    <x:col min="8" max="8" width="34" hidden="0" customWidth="1"/>
  </x:cols>
  <x:sheetData>
    <x:row r="1">
      <x:c r="A1" s="8" t="str">
        <x:v>Activity</x:v>
      </x:c>
      <x:c r="B1" s="8" t="str">
        <x:v>Executive Sponsor</x:v>
      </x:c>
      <x:c r="C1" s="8" t="str">
        <x:v>Project Coordinator</x:v>
      </x:c>
      <x:c r="D1" s="8" t="str">
        <x:v>Registration</x:v>
      </x:c>
      <x:c r="E1" s="8" t="str">
        <x:v>Revenue Cycle</x:v>
      </x:c>
      <x:c r="F1" s="8" t="str">
        <x:v>Nursing</x:v>
      </x:c>
      <x:c r="G1" s="8" t="str">
        <x:v>IT Apps</x:v>
      </x:c>
      <x:c r="H1" s="8" t="str">
        <x:v>Clinical Ops</x:v>
      </x:c>
    </x:row>
    <x:row r="2">
      <x:c r="A2" s="14" t="str">
        <x:v>Charter &amp; governance</x:v>
      </x:c>
      <x:c r="B2" s="14" t="str">
        <x:v>A</x:v>
      </x:c>
      <x:c r="C2" s="14" t="str">
        <x:v>R</x:v>
      </x:c>
      <x:c r="D2" s="14" t="str">
        <x:v>C</x:v>
      </x:c>
      <x:c r="E2" s="14" t="str">
        <x:v>C</x:v>
      </x:c>
      <x:c r="F2" s="14" t="str">
        <x:v>C</x:v>
      </x:c>
      <x:c r="G2" s="14" t="str">
        <x:v>I</x:v>
      </x:c>
      <x:c r="H2" s="14" t="str">
        <x:v>C</x:v>
      </x:c>
    </x:row>
    <x:row r="3">
      <x:c r="A3" s="14" t="str">
        <x:v>As-Is mapping</x:v>
      </x:c>
      <x:c r="B3" s="14" t="str">
        <x:v>I</x:v>
      </x:c>
      <x:c r="C3" s="14" t="str">
        <x:v>C</x:v>
      </x:c>
      <x:c r="D3" s="14" t="str">
        <x:v>R</x:v>
      </x:c>
      <x:c r="E3" s="14" t="str">
        <x:v>R</x:v>
      </x:c>
      <x:c r="F3" s="14" t="str">
        <x:v>R</x:v>
      </x:c>
      <x:c r="G3" s="14" t="str">
        <x:v>C</x:v>
      </x:c>
      <x:c r="H3" s="14" t="str">
        <x:v>A</x:v>
      </x:c>
    </x:row>
    <x:row r="4">
      <x:c r="A4" s="14" t="str">
        <x:v>To-Be design</x:v>
      </x:c>
      <x:c r="B4" s="14" t="str">
        <x:v>I</x:v>
      </x:c>
      <x:c r="C4" s="14" t="str">
        <x:v>R</x:v>
      </x:c>
      <x:c r="D4" s="14" t="str">
        <x:v>C</x:v>
      </x:c>
      <x:c r="E4" s="14" t="str">
        <x:v>C</x:v>
      </x:c>
      <x:c r="F4" s="14" t="str">
        <x:v>C</x:v>
      </x:c>
      <x:c r="G4" s="14" t="str">
        <x:v>C</x:v>
      </x:c>
      <x:c r="H4" s="14" t="str">
        <x:v>A</x:v>
      </x:c>
    </x:row>
    <x:row r="5">
      <x:c r="A5" s="14" t="str">
        <x:v>Digital intake configuration</x:v>
      </x:c>
      <x:c r="B5" s="14" t="str">
        <x:v>I</x:v>
      </x:c>
      <x:c r="C5" s="14" t="str">
        <x:v>C</x:v>
      </x:c>
      <x:c r="D5" s="14" t="str">
        <x:v>C</x:v>
      </x:c>
      <x:c r="E5" s="14" t="str">
        <x:v>I</x:v>
      </x:c>
      <x:c r="F5" s="14" t="str">
        <x:v>I</x:v>
      </x:c>
      <x:c r="G5" s="14" t="str">
        <x:v>A/R</x:v>
      </x:c>
      <x:c r="H5" s="14" t="str">
        <x:v>C</x:v>
      </x:c>
    </x:row>
    <x:row r="6">
      <x:c r="A6" s="14" t="str">
        <x:v>Eligibility redesign</x:v>
      </x:c>
      <x:c r="B6" s="14" t="str">
        <x:v>I</x:v>
      </x:c>
      <x:c r="C6" s="14" t="str">
        <x:v>C</x:v>
      </x:c>
      <x:c r="D6" s="14" t="str">
        <x:v>C</x:v>
      </x:c>
      <x:c r="E6" s="14" t="str">
        <x:v>A/R</x:v>
      </x:c>
      <x:c r="F6" s="14" t="str">
        <x:v>I</x:v>
      </x:c>
      <x:c r="G6" s="14" t="str">
        <x:v>C</x:v>
      </x:c>
      <x:c r="H6" s="14" t="str">
        <x:v>C</x:v>
      </x:c>
    </x:row>
    <x:row r="7">
      <x:c r="A7" s="14" t="str">
        <x:v>Staff training</x:v>
      </x:c>
      <x:c r="B7" s="14" t="str">
        <x:v>I</x:v>
      </x:c>
      <x:c r="C7" s="14" t="str">
        <x:v>C</x:v>
      </x:c>
      <x:c r="D7" s="14" t="str">
        <x:v>R</x:v>
      </x:c>
      <x:c r="E7" s="14" t="str">
        <x:v>C</x:v>
      </x:c>
      <x:c r="F7" s="14" t="str">
        <x:v>R</x:v>
      </x:c>
      <x:c r="G7" s="14" t="str">
        <x:v>C</x:v>
      </x:c>
      <x:c r="H7" s="14" t="str">
        <x:v>A</x:v>
      </x:c>
    </x:row>
    <x:row r="8">
      <x:c r="A8" s="14" t="str">
        <x:v>Pilot</x:v>
      </x:c>
      <x:c r="B8" s="14" t="str">
        <x:v>I</x:v>
      </x:c>
      <x:c r="C8" s="14" t="str">
        <x:v>A/R</x:v>
      </x:c>
      <x:c r="D8" s="14" t="str">
        <x:v>R</x:v>
      </x:c>
      <x:c r="E8" s="14" t="str">
        <x:v>R</x:v>
      </x:c>
      <x:c r="F8" s="14" t="str">
        <x:v>R</x:v>
      </x:c>
      <x:c r="G8" s="14" t="str">
        <x:v>R</x:v>
      </x:c>
      <x:c r="H8" s="14" t="str">
        <x:v>C</x:v>
      </x:c>
    </x:row>
    <x:row r="9">
      <x:c r="A9" s="14" t="str">
        <x:v>Full rollout</x:v>
      </x:c>
      <x:c r="B9" s="14" t="str">
        <x:v>I</x:v>
      </x:c>
      <x:c r="C9" s="14" t="str">
        <x:v>A/R</x:v>
      </x:c>
      <x:c r="D9" s="14" t="str">
        <x:v>R</x:v>
      </x:c>
      <x:c r="E9" s="14" t="str">
        <x:v>R</x:v>
      </x:c>
      <x:c r="F9" s="14" t="str">
        <x:v>R</x:v>
      </x:c>
      <x:c r="G9" s="14" t="str">
        <x:v>R</x:v>
      </x:c>
      <x:c r="H9" s="14" t="str">
        <x:v>C</x:v>
      </x:c>
    </x:row>
    <x:row r="10">
      <x:c r="A10" s="14" t="str">
        <x:v>KPI reporting</x:v>
      </x:c>
      <x:c r="B10" s="14" t="str">
        <x:v>I</x:v>
      </x:c>
      <x:c r="C10" s="14" t="str">
        <x:v>A/R</x:v>
      </x:c>
      <x:c r="D10" s="14" t="str">
        <x:v>C</x:v>
      </x:c>
      <x:c r="E10" s="14" t="str">
        <x:v>C</x:v>
      </x:c>
      <x:c r="F10" s="14" t="str">
        <x:v>C</x:v>
      </x:c>
      <x:c r="G10" s="14" t="str">
        <x:v>C</x:v>
      </x:c>
      <x:c r="H10" s="14" t="str">
        <x:v>C</x:v>
      </x:c>
    </x:row>
    <x:row r="11">
      <x:c r="A11" s="14"/>
      <x:c r="B11" s="14"/>
      <x:c r="C11" s="14"/>
      <x:c r="D11" s="14"/>
      <x:c r="E11" s="14"/>
      <x:c r="F11" s="14"/>
      <x:c r="G11" s="14"/>
      <x:c r="H11" s="14"/>
    </x:row>
    <x:row r="12">
      <x:c r="A12" s="8" t="str">
        <x:v>Stakeholder</x:v>
      </x:c>
      <x:c r="B12" s="8" t="str">
        <x:v>Role</x:v>
      </x:c>
      <x:c r="C12" s="8" t="str">
        <x:v>Influence</x:v>
      </x:c>
      <x:c r="D12" s="8" t="str">
        <x:v>Interest</x:v>
      </x:c>
      <x:c r="E12" s="8" t="str">
        <x:v>Communication</x:v>
      </x:c>
      <x:c r="F12" s="8" t="str">
        <x:v>Cadence</x:v>
      </x:c>
      <x:c r="G12" s="8" t="str">
        <x:v>Owner</x:v>
      </x:c>
      <x:c r="H12" s="8" t="str">
        <x:v>Key Need</x:v>
      </x:c>
    </x:row>
    <x:row r="13">
      <x:c r="A13" s="14" t="str">
        <x:v>Executive Sponsor</x:v>
      </x:c>
      <x:c r="B13" s="14" t="str">
        <x:v>Hospital operations sponsor</x:v>
      </x:c>
      <x:c r="C13" s="14" t="str">
        <x:v>High</x:v>
      </x:c>
      <x:c r="D13" s="14" t="str">
        <x:v>High</x:v>
      </x:c>
      <x:c r="E13" s="14" t="str">
        <x:v>Executive update</x:v>
      </x:c>
      <x:c r="F13" s="14" t="str">
        <x:v>Biweekly</x:v>
      </x:c>
      <x:c r="G13" s="14" t="str">
        <x:v>Project Coordinator</x:v>
      </x:c>
      <x:c r="H13" s="14" t="str">
        <x:v>KPI improvement, risks, budget</x:v>
      </x:c>
    </x:row>
    <x:row r="14">
      <x:c r="A14" s="14" t="str">
        <x:v>Registration Leadership</x:v>
      </x:c>
      <x:c r="B14" s="14" t="str">
        <x:v>Front-end intake owner</x:v>
      </x:c>
      <x:c r="C14" s="14" t="str">
        <x:v>High</x:v>
      </x:c>
      <x:c r="D14" s="14" t="str">
        <x:v>High</x:v>
      </x:c>
      <x:c r="E14" s="14" t="str">
        <x:v>Working session</x:v>
      </x:c>
      <x:c r="F14" s="14" t="str">
        <x:v>Weekly</x:v>
      </x:c>
      <x:c r="G14" s="14" t="str">
        <x:v>Project Coordinator</x:v>
      </x:c>
      <x:c r="H14" s="14" t="str">
        <x:v>Adoption, staffing, standard work</x:v>
      </x:c>
    </x:row>
    <x:row r="15">
      <x:c r="A15" s="14" t="str">
        <x:v>Revenue Cycle</x:v>
      </x:c>
      <x:c r="B15" s="14" t="str">
        <x:v>Insurance verification</x:v>
      </x:c>
      <x:c r="C15" s="14" t="str">
        <x:v>High</x:v>
      </x:c>
      <x:c r="D15" s="14" t="str">
        <x:v>High</x:v>
      </x:c>
      <x:c r="E15" s="14" t="str">
        <x:v>Working session</x:v>
      </x:c>
      <x:c r="F15" s="14" t="str">
        <x:v>Weekly</x:v>
      </x:c>
      <x:c r="G15" s="14" t="str">
        <x:v>Project Coordinator</x:v>
      </x:c>
      <x:c r="H15" s="14" t="str">
        <x:v>Queue volume, eligibility exceptions</x:v>
      </x:c>
    </x:row>
    <x:row r="16">
      <x:c r="A16" s="14" t="str">
        <x:v>Nursing Leadership</x:v>
      </x:c>
      <x:c r="B16" s="14" t="str">
        <x:v>Clinical intake handoff</x:v>
      </x:c>
      <x:c r="C16" s="14" t="str">
        <x:v>High</x:v>
      </x:c>
      <x:c r="D16" s="14" t="str">
        <x:v>High</x:v>
      </x:c>
      <x:c r="E16" s="14" t="str">
        <x:v>Readiness review</x:v>
      </x:c>
      <x:c r="F16" s="14" t="str">
        <x:v>Weekly during pilot</x:v>
      </x:c>
      <x:c r="G16" s="14" t="str">
        <x:v>Project Coordinator</x:v>
      </x:c>
      <x:c r="H16" s="14" t="str">
        <x:v>Complete intake packet, handoff timing</x:v>
      </x:c>
    </x:row>
    <x:row r="17">
      <x:c r="A17" s="14" t="str">
        <x:v>IT Applications</x:v>
      </x:c>
      <x:c r="B17" s="14" t="str">
        <x:v>Digital form / interfaces</x:v>
      </x:c>
      <x:c r="C17" s="14" t="str">
        <x:v>High</x:v>
      </x:c>
      <x:c r="D17" s="14" t="str">
        <x:v>High</x:v>
      </x:c>
      <x:c r="E17" s="14" t="str">
        <x:v>Defect triage</x:v>
      </x:c>
      <x:c r="F17" s="14" t="str">
        <x:v>As needed</x:v>
      </x:c>
      <x:c r="G17" s="14" t="str">
        <x:v>Project Coordinator</x:v>
      </x:c>
      <x:c r="H17" s="14" t="str">
        <x:v>Defects, mappings, configuration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34" hidden="0" customWidth="1"/>
    <x:col min="4" max="4" width="40" hidden="0" customWidth="1"/>
    <x:col min="5" max="5" width="12" hidden="0" customWidth="1"/>
    <x:col min="6" max="6" width="14" hidden="0" customWidth="1"/>
    <x:col min="7" max="7" width="22" hidden="0" customWidth="1"/>
    <x:col min="8" max="8" width="14" hidden="0" customWidth="1"/>
  </x:cols>
  <x:sheetData>
    <x:row r="1">
      <x:c r="A1" s="8" t="str">
        <x:v>Change ID</x:v>
      </x:c>
      <x:c r="B1" s="8" t="str">
        <x:v>Request</x:v>
      </x:c>
      <x:c r="C1" s="8" t="str">
        <x:v>Reason</x:v>
      </x:c>
      <x:c r="D1" s="8" t="str">
        <x:v>Impact</x:v>
      </x:c>
      <x:c r="E1" s="8" t="str">
        <x:v>Decision</x:v>
      </x:c>
      <x:c r="F1" s="8" t="str">
        <x:v>Decision Date</x:v>
      </x:c>
      <x:c r="G1" s="8" t="str">
        <x:v>Owner</x:v>
      </x:c>
      <x:c r="H1" s="8" t="str">
        <x:v>Status</x:v>
      </x:c>
    </x:row>
    <x:row r="2">
      <x:c r="A2" s="14" t="str">
        <x:v>CR-01</x:v>
      </x:c>
      <x:c r="B2" s="14" t="str">
        <x:v>Add assisted digital intake station in Emergency Intake</x:v>
      </x:c>
      <x:c r="C2" s="14" t="str">
        <x:v>Support patients unable to complete forms before arrival</x:v>
      </x:c>
      <x:c r="D2" s="14" t="str">
        <x:v>+$850 equipment; improves adoption; no schedule impact</x:v>
      </x:c>
      <x:c r="E2" s="14" t="str">
        <x:v>Approved</x:v>
      </x:c>
      <x:c r="F2" s="20" t="n">
        <x:v>46089</x:v>
      </x:c>
      <x:c r="G2" s="14" t="str">
        <x:v>Registration Manager</x:v>
      </x:c>
      <x:c r="H2" s="14" t="str">
        <x:v>Implemented</x:v>
      </x:c>
    </x:row>
    <x:row r="3">
      <x:c r="A3" s="14" t="str">
        <x:v>CR-02</x:v>
      </x:c>
      <x:c r="B3" s="14" t="str">
        <x:v>Add guarantor-field validation rule</x:v>
      </x:c>
      <x:c r="C3" s="14" t="str">
        <x:v>Prevent duplicate mapping defect</x:v>
      </x:c>
      <x:c r="D3" s="14" t="str">
        <x:v>Minor configuration effort; reduces data error rate</x:v>
      </x:c>
      <x:c r="E3" s="14" t="str">
        <x:v>Approved</x:v>
      </x:c>
      <x:c r="F3" s="20" t="n">
        <x:v>46093</x:v>
      </x:c>
      <x:c r="G3" s="14" t="str">
        <x:v>IT Applications Lead</x:v>
      </x:c>
      <x:c r="H3" s="14" t="str">
        <x:v>Implemented</x:v>
      </x:c>
    </x:row>
    <x:row r="4">
      <x:c r="A4" s="14" t="str">
        <x:v>CR-03</x:v>
      </x:c>
      <x:c r="B4" s="14" t="str">
        <x:v>Extend pilot by two business days for observation</x:v>
      </x:c>
      <x:c r="C4" s="14" t="str">
        <x:v>Validate stability before full rollout</x:v>
      </x:c>
      <x:c r="D4" s="14" t="str">
        <x:v>No full-rollout date impact due schedule float</x:v>
      </x:c>
      <x:c r="E4" s="14" t="str">
        <x:v>Approved</x:v>
      </x:c>
      <x:c r="F4" s="20" t="n">
        <x:v>46095</x:v>
      </x:c>
      <x:c r="G4" s="14" t="str">
        <x:v>Project Coordinator</x:v>
      </x:c>
      <x:c r="H4" s="14" t="str">
        <x:v>Implemented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8" hidden="0" customWidth="1"/>
    <x:col min="4" max="4" width="23" hidden="0" customWidth="1"/>
    <x:col min="5" max="5" width="18" hidden="0" customWidth="1"/>
    <x:col min="6" max="6" width="8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30" customHeight="1">
      <x:c r="A1" s="43" t="str">
        <x:v>Hospital Intake Workflow Optimization | Executive Dashboard</x:v>
      </x:c>
      <x:c r="B1" s="43"/>
      <x:c r="C1" s="43"/>
      <x:c r="D1" s="43"/>
      <x:c r="E1" s="43"/>
      <x:c r="F1" s="43"/>
      <x:c r="G1" s="43"/>
      <x:c r="H1" s="43"/>
      <x:c r="I1" s="43"/>
    </x:row>
    <x:row r="2">
      <x:c r="K2" t="str">
        <x:v>Week</x:v>
      </x:c>
      <x:c r="L2" t="str">
        <x:v>Registration Min</x:v>
      </x:c>
      <x:c r="N2" t="str">
        <x:v>Week</x:v>
      </x:c>
      <x:c r="O2" t="str">
        <x:v>Wait Min</x:v>
      </x:c>
      <x:c r="Q2" t="str">
        <x:v>Department</x:v>
      </x:c>
      <x:c r="R2" t="str">
        <x:v>Wait Reduction %</x:v>
      </x:c>
    </x:row>
    <x:row r="3">
      <x:c r="K3" t="str">
        <x:v>W1</x:v>
      </x:c>
      <x:c r="L3" t="n">
        <x:v>14.8</x:v>
      </x:c>
      <x:c r="N3" t="str">
        <x:v>W1</x:v>
      </x:c>
      <x:c r="O3" t="n">
        <x:v>31</x:v>
      </x:c>
      <x:c r="Q3" t="str">
        <x:v>Emergency Intake</x:v>
      </x:c>
      <x:c r="R3" s="2" t="n">
        <x:f>'Department Metrics'!H2</x:f>
        <x:v>0.4142857142857143</x:v>
      </x:c>
    </x:row>
    <x:row r="4">
      <x:c r="A4" s="8" t="str">
        <x:v>Operational KPI</x:v>
      </x:c>
      <x:c r="B4" s="8" t="str">
        <x:v>Value</x:v>
      </x:c>
      <x:c r="D4" s="8" t="str">
        <x:v>Project Health</x:v>
      </x:c>
      <x:c r="E4" s="8" t="str">
        <x:v>Value</x:v>
      </x:c>
      <x:c r="K4" t="str">
        <x:v>W2</x:v>
      </x:c>
      <x:c r="L4" t="n">
        <x:v>13.2</x:v>
      </x:c>
      <x:c r="N4" t="str">
        <x:v>W2</x:v>
      </x:c>
      <x:c r="O4" t="n">
        <x:v>28.5</x:v>
      </x:c>
      <x:c r="Q4" t="str">
        <x:v>Outpatient Surgery</x:v>
      </x:c>
      <x:c r="R4" s="2" t="n">
        <x:f>'Department Metrics'!H3</x:f>
        <x:v>0.4551724137931034</x:v>
      </x:c>
    </x:row>
    <x:row r="5">
      <x:c r="A5" t="str">
        <x:v>Overall Status</x:v>
      </x:c>
      <x:c r="B5" t="str">
        <x:f>IF(AND(B7&gt;=0.4,B9&gt;=0.35,B10&gt;=0.9,B11&lt;=0.03,E5=0,E7=1),"Green","Attention")</x:f>
        <x:v>Green</x:v>
      </x:c>
      <x:c r="D5" t="str">
        <x:v>Open Risks / Issues</x:v>
      </x:c>
      <x:c r="E5" t="n">
        <x:f>COUNTIFS('RAID Log'!B2:B6,"Risk",'RAID Log'!J2:J6,"&lt;&gt;Closed")+COUNTIFS('RAID Log'!B2:B6,"Issue",'RAID Log'!J2:J6,"&lt;&gt;Closed")</x:f>
        <x:v>0</x:v>
      </x:c>
      <x:c r="K5" t="str">
        <x:v>W3</x:v>
      </x:c>
      <x:c r="L5" t="n">
        <x:v>11.6</x:v>
      </x:c>
      <x:c r="N5" t="str">
        <x:v>W3</x:v>
      </x:c>
      <x:c r="O5" t="n">
        <x:v>25</x:v>
      </x:c>
      <x:c r="Q5" t="str">
        <x:v>Cardiology</x:v>
      </x:c>
      <x:c r="R5" s="2" t="n">
        <x:f>'Department Metrics'!H4</x:f>
        <x:v>0.4145454545454545</x:v>
      </x:c>
    </x:row>
    <x:row r="6">
      <x:c r="A6" t="str">
        <x:v>Avg Registration Time</x:v>
      </x:c>
      <x:c r="B6" s="48" t="n">
        <x:f>'Weekly Metrics'!C7</x:f>
        <x:v>7.6</x:v>
      </x:c>
      <x:c r="D6" t="str">
        <x:v>Open Critical RAID Items</x:v>
      </x:c>
      <x:c r="E6" t="n">
        <x:f>COUNTIFS('RAID Log'!M2:M6,"Critical",'RAID Log'!J2:J6,"&lt;&gt;Closed",'RAID Log'!J2:J6,"&lt;&gt;Complete",'RAID Log'!J2:J6,"&lt;&gt;Validated")</x:f>
        <x:v>0</x:v>
      </x:c>
      <x:c r="K6" t="str">
        <x:v>W4</x:v>
      </x:c>
      <x:c r="L6" t="n">
        <x:v>10.1</x:v>
      </x:c>
      <x:c r="N6" t="str">
        <x:v>W4</x:v>
      </x:c>
      <x:c r="O6" t="n">
        <x:v>22.3</x:v>
      </x:c>
      <x:c r="Q6" t="str">
        <x:v>Orthopedics</x:v>
      </x:c>
      <x:c r="R6" s="2" t="n">
        <x:f>'Department Metrics'!H5</x:f>
        <x:v>0.44</x:v>
      </x:c>
    </x:row>
    <x:row r="7">
      <x:c r="A7" t="str">
        <x:v>Registration Reduction</x:v>
      </x:c>
      <x:c r="B7" s="48" t="n">
        <x:f>IFERROR(('Weekly Metrics'!C2-'Weekly Metrics'!C7)/'Weekly Metrics'!C2,0)</x:f>
        <x:v>0.4864864864864865</x:v>
      </x:c>
      <x:c r="D7" t="str">
        <x:v>Milestone Completion</x:v>
      </x:c>
      <x:c r="E7" s="2" t="n">
        <x:f>IFERROR(COUNTIF(Milestones!D2:D8,"Complete")/COUNTA(Milestones!A2:A8),0)</x:f>
        <x:v>1</x:v>
      </x:c>
      <x:c r="K7" t="str">
        <x:v>W5</x:v>
      </x:c>
      <x:c r="L7" t="n">
        <x:v>8.9</x:v>
      </x:c>
      <x:c r="N7" t="str">
        <x:v>W5</x:v>
      </x:c>
      <x:c r="O7" t="n">
        <x:v>19.8</x:v>
      </x:c>
      <x:c r="Q7" t="str">
        <x:v>Imaging</x:v>
      </x:c>
      <x:c r="R7" s="2" t="n">
        <x:f>'Department Metrics'!H6</x:f>
        <x:v>0.4</x:v>
      </x:c>
    </x:row>
    <x:row r="8">
      <x:c r="A8" t="str">
        <x:v>Avg Patient Wait</x:v>
      </x:c>
      <x:c r="B8" s="48" t="n">
        <x:f>'Weekly Metrics'!D7</x:f>
        <x:v>17.2</x:v>
      </x:c>
      <x:c r="D8" t="str">
        <x:v>Budget Variance</x:v>
      </x:c>
      <x:c r="E8" s="2" t="n">
        <x:f>IFERROR((Budget!B10-Budget!C10)/Budget!B10,0)</x:f>
        <x:v>0.017619047619047618</x:v>
      </x:c>
      <x:c r="K8" t="str">
        <x:v>W6</x:v>
      </x:c>
      <x:c r="L8" t="n">
        <x:v>7.6</x:v>
      </x:c>
      <x:c r="N8" t="str">
        <x:v>W6</x:v>
      </x:c>
      <x:c r="O8" t="n">
        <x:v>17.2</x:v>
      </x:c>
    </x:row>
    <x:row r="9">
      <x:c r="A9" t="str">
        <x:v>Wait Reduction</x:v>
      </x:c>
      <x:c r="B9" s="2" t="n">
        <x:f>IFERROR(('Weekly Metrics'!D2-'Weekly Metrics'!D7)/'Weekly Metrics'!D2,0)</x:f>
        <x:v>0.44516129032258067</x:v>
      </x:c>
      <x:c r="D9" t="str">
        <x:v>Task Completion</x:v>
      </x:c>
      <x:c r="E9" s="2" t="n">
        <x:f>IFERROR(COUNTIF('Task Tracker'!F2:F13,"Complete")/COUNTA('Task Tracker'!A2:A13),0)</x:f>
        <x:v>1</x:v>
      </x:c>
    </x:row>
    <x:row r="10">
      <x:c r="A10" t="str">
        <x:v>Digital Form Adoption</x:v>
      </x:c>
      <x:c r="B10" s="2" t="n">
        <x:f>'Weekly Metrics'!E7</x:f>
        <x:v>0.94</x:v>
      </x:c>
      <x:c r="D10" t="str">
        <x:v>Patient Satisfaction</x:v>
      </x:c>
      <x:c r="E10" s="48" t="n">
        <x:f>'Weekly Metrics'!I7</x:f>
        <x:v>4.6</x:v>
      </x:c>
    </x:row>
    <x:row r="11">
      <x:c r="A11" t="str">
        <x:v>Data Error Rate</x:v>
      </x:c>
      <x:c r="B11" s="2" t="n">
        <x:f>'Weekly Metrics'!G7</x:f>
        <x:v>0.018</x:v>
      </x:c>
      <x:c r="D11" t="str">
        <x:v>Closeout Date</x:v>
      </x:c>
      <x:c r="E11" s="18" t="n">
        <x:f>MAX(Milestones!C2:C8)</x:f>
        <x:v>46125</x:v>
      </x:c>
    </x:row>
    <x:row r="13">
      <x:c r="A13" s="26" t="str">
        <x:v>Executive Summary</x:v>
      </x:c>
      <x:c r="B13" s="26"/>
      <x:c r="C13" s="26"/>
      <x:c r="D13" s="26"/>
      <x:c r="E13" s="26"/>
      <x:c r="F13" s="26"/>
      <x:c r="G13" s="26"/>
      <x:c r="H13" s="26"/>
      <x:c r="I13" s="26"/>
    </x:row>
    <x:row r="14">
      <x:c r="A14" s="52" t="str">
        <x:v>Scope</x:v>
      </x:c>
      <x:c r="B14" s="14" t="str">
        <x:v>Simulated optimization of hospital registration, insurance verification, digital intake, and clinical handoff across five departments.</x:v>
      </x:c>
      <x:c r="C14" s="14"/>
      <x:c r="D14" s="14"/>
      <x:c r="E14" s="14"/>
      <x:c r="F14" s="14"/>
      <x:c r="G14" s="14"/>
      <x:c r="H14" s="14"/>
      <x:c r="I14" s="14"/>
    </x:row>
    <x:row r="15">
      <x:c r="A15" s="52" t="str">
        <x:v>Efficiency</x:v>
      </x:c>
      <x:c r="B15" s="14" t="str">
        <x:v>Average registration time improved from 14.8 to 7.6 minutes and average wait time from 31.0 to 17.2 minutes.</x:v>
      </x:c>
      <x:c r="C15" s="14"/>
      <x:c r="D15" s="14"/>
      <x:c r="E15" s="14"/>
      <x:c r="F15" s="14"/>
      <x:c r="G15" s="14"/>
      <x:c r="H15" s="14"/>
      <x:c r="I15" s="14"/>
    </x:row>
    <x:row r="16">
      <x:c r="A16" s="52" t="str">
        <x:v>Quality</x:v>
      </x:c>
      <x:c r="B16" s="14" t="str">
        <x:v>Digital form adoption reached 94% while simulated data-entry error rate declined from 8.7% to 1.8%.</x:v>
      </x:c>
      <x:c r="C16" s="14"/>
      <x:c r="D16" s="14"/>
      <x:c r="E16" s="14"/>
      <x:c r="F16" s="14"/>
      <x:c r="G16" s="14"/>
      <x:c r="H16" s="14"/>
      <x:c r="I16" s="14"/>
    </x:row>
    <x:row r="17">
      <x:c r="A17" s="52" t="str">
        <x:v>Experience</x:v>
      </x:c>
      <x:c r="B17" s="14" t="str">
        <x:v>Patient satisfaction improved from 3.7/5 to 4.6/5 across the six-week measurement period.</x:v>
      </x:c>
      <x:c r="C17" s="14"/>
      <x:c r="D17" s="14"/>
      <x:c r="E17" s="14"/>
      <x:c r="F17" s="14"/>
      <x:c r="G17" s="14"/>
      <x:c r="H17" s="14"/>
      <x:c r="I17" s="14"/>
    </x:row>
    <x:row r="18">
      <x:c r="A18" s="52" t="str">
        <x:v>Delivery</x:v>
      </x:c>
      <x:c r="B18" s="14" t="str">
        <x:v>All project milestones and tasks closed, with zero open risks/issues at closeout.</x:v>
      </x:c>
      <x:c r="C18" s="14"/>
      <x:c r="D18" s="14"/>
      <x:c r="E18" s="14"/>
      <x:c r="F18" s="14"/>
      <x:c r="G18" s="14"/>
      <x:c r="H18" s="14"/>
      <x:c r="I18" s="14"/>
    </x:row>
    <x:row r="19">
      <x:c r="A19" s="52" t="str">
        <x:v>Budget</x:v>
      </x:c>
      <x:c r="B19" s="14" t="str">
        <x:v>Actual project cost finished below the $105,000 baseline budget.</x:v>
      </x:c>
      <x:c r="C19" s="14"/>
      <x:c r="D19" s="14"/>
      <x:c r="E19" s="14"/>
      <x:c r="F19" s="14"/>
      <x:c r="G19" s="14"/>
      <x:c r="H19" s="14"/>
      <x:c r="I19" s="14"/>
    </x:row>
    <x:row r="55">
      <x:c r="A55" s="43" t="str">
        <x:v>Project Controls Demonstrated</x:v>
      </x:c>
      <x:c r="B55" s="43"/>
      <x:c r="C55" s="43"/>
      <x:c r="D55" s="43"/>
      <x:c r="E55" s="43"/>
      <x:c r="F55" s="43"/>
      <x:c r="G55" s="43"/>
      <x:c r="H55" s="43"/>
      <x:c r="I55" s="43"/>
    </x:row>
    <x:row r="56">
      <x:c r="A56" s="26" t="str">
        <x:v>Process &amp; Schedule</x:v>
      </x:c>
      <x:c r="B56" s="26"/>
      <x:c r="C56" s="26"/>
      <x:c r="D56" s="26" t="str">
        <x:v>Governance &amp; Change</x:v>
      </x:c>
      <x:c r="E56" s="26"/>
      <x:c r="F56" s="26"/>
      <x:c r="G56" s="26" t="str">
        <x:v>Healthcare Operations Analytics</x:v>
      </x:c>
      <x:c r="H56" s="26"/>
      <x:c r="I56" s="26"/>
    </x:row>
    <x:row r="57">
      <x:c r="A57" s="54" t="str">
        <x:v>As-Is / To-Be workflow
Task dependencies
Milestone variance
Pilot and phased rollout</x:v>
      </x:c>
      <x:c r="B57" s="54"/>
      <x:c r="C57" s="54"/>
      <x:c r="D57" s="54" t="str">
        <x:v>RAID scoring
RACI / stakeholder cadence
Change control
Issue and defect tracking</x:v>
      </x:c>
      <x:c r="E57" s="54"/>
      <x:c r="F57" s="54"/>
      <x:c r="G57" s="54" t="str">
        <x:v>Registration time
Patient wait time
Digital adoption
Data quality and satisfaction</x:v>
      </x:c>
      <x:c r="H57" s="54"/>
      <x:c r="I57" s="54"/>
    </x:row>
    <x:row r="58">
      <x:c r="A58" s="54"/>
      <x:c r="B58" s="54"/>
      <x:c r="C58" s="54"/>
      <x:c r="D58" s="54"/>
      <x:c r="E58" s="54"/>
      <x:c r="F58" s="54"/>
      <x:c r="G58" s="54"/>
      <x:c r="H58" s="54"/>
      <x:c r="I58" s="54"/>
    </x:row>
    <x:row r="59">
      <x:c r="A59" s="54"/>
      <x:c r="B59" s="54"/>
      <x:c r="C59" s="54"/>
      <x:c r="D59" s="54"/>
      <x:c r="E59" s="54"/>
      <x:c r="F59" s="54"/>
      <x:c r="G59" s="54"/>
      <x:c r="H59" s="54"/>
      <x:c r="I59" s="54"/>
    </x:row>
    <x:row r="60">
      <x:c r="A60" s="54"/>
      <x:c r="B60" s="54"/>
      <x:c r="C60" s="54"/>
      <x:c r="D60" s="54"/>
      <x:c r="E60" s="54"/>
      <x:c r="F60" s="54"/>
      <x:c r="G60" s="54"/>
      <x:c r="H60" s="54"/>
      <x:c r="I60" s="54"/>
    </x:row>
  </x:sheetData>
  <x:mergeCells>
    <x:mergeCell ref="A1:I1"/>
    <x:mergeCell ref="A13:I13"/>
    <x:mergeCell ref="B14:I14"/>
    <x:mergeCell ref="B15:I15"/>
    <x:mergeCell ref="B16:I16"/>
    <x:mergeCell ref="B17:I17"/>
    <x:mergeCell ref="B18:I18"/>
    <x:mergeCell ref="B19:I19"/>
    <x:mergeCell ref="A55:I55"/>
    <x:mergeCell ref="A56:C56"/>
    <x:mergeCell ref="D56:F56"/>
    <x:mergeCell ref="G56:I56"/>
    <x:mergeCell ref="A57:C60"/>
    <x:mergeCell ref="D57:F60"/>
    <x:mergeCell ref="G57:I60"/>
  </x:mergeCells>
  <x:pageMargins left="0.7" right="0.7" top="0.75" bottom="0.75" header="0.3" footer="0.3"/>
  <x:drawing xmlns:r="http://schemas.openxmlformats.org/officeDocument/2006/relationships" r:id="Rd0a9baffff76499d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2" hidden="0" customWidth="1"/>
    <x:col min="3" max="3" width="34" hidden="0" customWidth="1"/>
    <x:col min="4" max="4" width="44" hidden="0" customWidth="1"/>
  </x:cols>
  <x:sheetData>
    <x:row r="1">
      <x:c r="A1" s="8" t="str">
        <x:v>Area</x:v>
      </x:c>
      <x:c r="B1" s="8" t="str">
        <x:v>Formula Example</x:v>
      </x:c>
      <x:c r="C1" s="8" t="str">
        <x:v>Purpose</x:v>
      </x:c>
      <x:c r="D1" s="8" t="str">
        <x:v>Interview Talking Point</x:v>
      </x:c>
    </x:row>
    <x:row r="2">
      <x:c r="A2" s="14" t="str">
        <x:v>Department Metrics</x:v>
      </x:c>
      <x:c r="B2" s="14" t="str">
        <x:v>=IFERROR((C2-D2)/C2,0)</x:v>
      </x:c>
      <x:c r="C2" s="14" t="str">
        <x:v>Registration-time reduction</x:v>
      </x:c>
      <x:c r="D2" s="14" t="str">
        <x:v>Shows measurable process improvement by department.</x:v>
      </x:c>
    </x:row>
    <x:row r="3">
      <x:c r="A3" s="14" t="str">
        <x:v>Task Tracker</x:v>
      </x:c>
      <x:c r="B3" s="14" t="n">
        <x:f>IF(F2="Complete",0,H2-TODAY())</x:f>
        <x:v>-46291</x:v>
      </x:c>
      <x:c r="C3" s="14" t="str">
        <x:v>Days remaining</x:v>
      </x:c>
      <x:c r="D3" s="14" t="str">
        <x:v>Supports proactive schedule monitoring.</x:v>
      </x:c>
    </x:row>
    <x:row r="4">
      <x:c r="A4" s="14" t="str">
        <x:v>Task Tracker</x:v>
      </x:c>
      <x:c r="B4" s="14" t="str">
        <x:f>IF(F2="Complete","Green",IF(H2&lt;TODAY(),"Red",IF(H2-TODAY()&lt;=3,"Amber","Green")))</x:f>
        <x:v>Red</x:v>
      </x:c>
      <x:c r="C4" s="14" t="str">
        <x:v>RAG health</x:v>
      </x:c>
      <x:c r="D4" s="14" t="str">
        <x:v>Automatically flags schedule risk.</x:v>
      </x:c>
    </x:row>
    <x:row r="5">
      <x:c r="A5" s="14" t="str">
        <x:v>RAID Log</x:v>
      </x:c>
      <x:c r="B5" s="14" t="str">
        <x:v>=D2*E2</x:v>
      </x:c>
      <x:c r="C5" s="14" t="str">
        <x:v>Risk score</x:v>
      </x:c>
      <x:c r="D5" s="14" t="str">
        <x:v>Standardizes risk prioritization.</x:v>
      </x:c>
    </x:row>
    <x:row r="6">
      <x:c r="A6" s="14" t="str">
        <x:v>Milestones</x:v>
      </x:c>
      <x:c r="B6" s="14" t="str">
        <x:v>=C2-B2</x:v>
      </x:c>
      <x:c r="C6" s="14" t="str">
        <x:v>Schedule variance</x:v>
      </x:c>
      <x:c r="D6" s="14" t="str">
        <x:v>Compares actual vs baseline milestone dates.</x:v>
      </x:c>
    </x:row>
    <x:row r="7">
      <x:c r="A7" s="14" t="str">
        <x:v>Budget</x:v>
      </x:c>
      <x:c r="B7" s="14" t="str">
        <x:v>=B2-C2</x:v>
      </x:c>
      <x:c r="C7" s="14" t="str">
        <x:v>Budget variance</x:v>
      </x:c>
      <x:c r="D7" s="14" t="str">
        <x:v>Tracks cost performance by workstream.</x:v>
      </x:c>
    </x:row>
    <x:row r="8">
      <x:c r="A8" s="14" t="str">
        <x:v>Dashboard</x:v>
      </x:c>
      <x:c r="B8" s="14" t="str">
        <x:v>=('Weekly Metrics'!C2-'Weekly Metrics'!C7)/'Weekly Metrics'!C2</x:v>
      </x:c>
      <x:c r="C8" s="14" t="str">
        <x:v>Registration improvement</x:v>
      </x:c>
      <x:c r="D8" s="14" t="str">
        <x:v>Rolls operational improvement into executive reporting.</x:v>
      </x:c>
    </x:row>
    <x:row r="9">
      <x:c r="A9" s="14" t="str">
        <x:v>Dashboard</x:v>
      </x:c>
      <x:c r="B9" s="14" t="str">
        <x:v>=COUNTIF('Task Tracker'!F2:F13,"Complete")/COUNTA('Task Tracker'!A2:A13)</x:v>
      </x:c>
      <x:c r="C9" s="14" t="str">
        <x:v>Task completion KPI</x:v>
      </x:c>
      <x:c r="D9" s="14" t="str">
        <x:v>Links executive dashboard to project tracker.</x:v>
      </x:c>
    </x:row>
  </x:sheetData>
  <x:pageMargins left="0.7" right="0.7" top="0.75" bottom="0.75" header="0.3" footer="0.3"/>
</x:worksheet>
</file>