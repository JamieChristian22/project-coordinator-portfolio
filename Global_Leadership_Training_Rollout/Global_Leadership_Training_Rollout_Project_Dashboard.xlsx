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e97422cb148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 Metrics" sheetId="1" r:id="R081343aa9db248e0"/>
    <x:sheet xmlns:r="http://schemas.openxmlformats.org/officeDocument/2006/relationships" name="Regional Rollout" sheetId="2" r:id="Rf3c556b23a084a12"/>
    <x:sheet xmlns:r="http://schemas.openxmlformats.org/officeDocument/2006/relationships" name="Task Tracker" sheetId="3" r:id="Rb8f6205adcb1450e"/>
    <x:sheet xmlns:r="http://schemas.openxmlformats.org/officeDocument/2006/relationships" name="Session Tracker" sheetId="4" r:id="Rdc79539968ea4793"/>
    <x:sheet xmlns:r="http://schemas.openxmlformats.org/officeDocument/2006/relationships" name="RAID Log" sheetId="5" r:id="R110ddf08f7084aed"/>
    <x:sheet xmlns:r="http://schemas.openxmlformats.org/officeDocument/2006/relationships" name="Milestones" sheetId="6" r:id="R6aa42a350da84aa4"/>
    <x:sheet xmlns:r="http://schemas.openxmlformats.org/officeDocument/2006/relationships" name="Budget" sheetId="7" r:id="R1b0946bfb40f41e1"/>
    <x:sheet xmlns:r="http://schemas.openxmlformats.org/officeDocument/2006/relationships" name="RACI &amp; Stakeholders" sheetId="8" r:id="Rf1d4ae4a7da84298"/>
    <x:sheet xmlns:r="http://schemas.openxmlformats.org/officeDocument/2006/relationships" name="Change Log" sheetId="9" r:id="Rc709b89a0b374716"/>
    <x:sheet xmlns:r="http://schemas.openxmlformats.org/officeDocument/2006/relationships" name="Dashboard" sheetId="10" r:id="Rdb183f101d9a42db"/>
    <x:sheet xmlns:r="http://schemas.openxmlformats.org/officeDocument/2006/relationships" name="Formula Guide" sheetId="11" r:id="R250ee57fc3c54a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"/>
    <x:numFmt numFmtId="202" formatCode="mmm d, yyyy"/>
    <x:numFmt numFmtId="203" formatCode="$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8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/>
    <x:xf numFmtId="203" fontId="2" fillId="3" borderId="0" xfId="0" applyNumberFormat="1" applyFont="1" applyFill="1" applyBorder="1" applyAlignment="1">
      <x:alignment horizontal="center" vertical="center" wrapText="1"/>
    </x:xf>
    <x:xf numFmtId="203" fontId="0" fillId="0" borderId="1" xfId="0" applyNumberFormat="1" applyFont="1" applyFill="1" applyBorder="1"/>
    <x:xf numFmtId="203" fontId="2" fillId="3" borderId="1" xfId="0" applyNumberFormat="1" applyFont="1" applyFill="1" applyBorder="1" applyAlignment="1">
      <x:alignment horizontal="center" vertical="center" wrapText="1"/>
    </x:xf>
    <x:xf numFmtId="200" fontId="2" fillId="3" borderId="0" xfId="0" applyNumberFormat="1" applyFont="1" applyFill="1" applyBorder="1" applyAlignment="1">
      <x:alignment horizontal="center" vertical="center" wrapText="1"/>
    </x:xf>
    <x:xf numFmtId="200" fontId="2" fillId="3" borderId="1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6500"/>
      </x:font>
      <x:fill>
        <x:patternFill>
          <x:bgColor rgb="FFFCE5CD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e054bd5f0a46c2" /><Relationship Type="http://schemas.openxmlformats.org/officeDocument/2006/relationships/theme" Target="/xl/theme/theme1.xml" Id="Rca817abcc18d4363" /><Relationship Type="http://schemas.openxmlformats.org/officeDocument/2006/relationships/sharedStrings" Target="/xl/sharedStrings.xml" Id="Ra3805801a36a4be4" /><Relationship Type="http://schemas.openxmlformats.org/officeDocument/2006/relationships/worksheet" Target="/xl/worksheets/sheet1.xml" Id="R081343aa9db248e0" /><Relationship Type="http://schemas.openxmlformats.org/officeDocument/2006/relationships/worksheet" Target="/xl/worksheets/sheet2.xml" Id="Rf3c556b23a084a12" /><Relationship Type="http://schemas.openxmlformats.org/officeDocument/2006/relationships/worksheet" Target="/xl/worksheets/sheet3.xml" Id="Rb8f6205adcb1450e" /><Relationship Type="http://schemas.openxmlformats.org/officeDocument/2006/relationships/worksheet" Target="/xl/worksheets/sheet4.xml" Id="Rdc79539968ea4793" /><Relationship Type="http://schemas.openxmlformats.org/officeDocument/2006/relationships/worksheet" Target="/xl/worksheets/sheet5.xml" Id="R110ddf08f7084aed" /><Relationship Type="http://schemas.openxmlformats.org/officeDocument/2006/relationships/worksheet" Target="/xl/worksheets/sheet6.xml" Id="R6aa42a350da84aa4" /><Relationship Type="http://schemas.openxmlformats.org/officeDocument/2006/relationships/worksheet" Target="/xl/worksheets/sheet7.xml" Id="R1b0946bfb40f41e1" /><Relationship Type="http://schemas.openxmlformats.org/officeDocument/2006/relationships/worksheet" Target="/xl/worksheets/sheet8.xml" Id="Rf1d4ae4a7da84298" /><Relationship Type="http://schemas.openxmlformats.org/officeDocument/2006/relationships/worksheet" Target="/xl/worksheets/sheet9.xml" Id="Rc709b89a0b374716" /><Relationship Type="http://schemas.openxmlformats.org/officeDocument/2006/relationships/worksheet" Target="/xl/worksheets/sheet10.xml" Id="Rdb183f101d9a42db" /><Relationship Type="http://schemas.openxmlformats.org/officeDocument/2006/relationships/worksheet" Target="/xl/worksheets/sheet11.xml" Id="R250ee57fc3c54a7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9fefeff133f4280" /><Relationship Type="http://schemas.openxmlformats.org/officeDocument/2006/relationships/chart" Target="/xl/drawings/charts/chart2.xml" Id="Rd584e519d61f4306" /><Relationship Type="http://schemas.openxmlformats.org/officeDocument/2006/relationships/chart" Target="/xl/drawings/charts/chart3.xml" Id="R92b0ccba24694a93" /><Relationship Type="http://schemas.openxmlformats.org/officeDocument/2006/relationships/chart" Target="/xl/drawings/charts/chart4.xml" Id="R20f9abb0b8ec48f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Completion Rate by Region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Completion %</c:v>
          </c:tx>
          <c:cat>
            <c:strRef>
              <c:f>'Dashboard'!$K$3:$K$6</c:f>
              <c:strCache>
                <c:ptCount val="0"/>
              </c:strCache>
            </c:strRef>
          </c:cat>
          <c:val>
            <c:numRef>
              <c:f>'Dashboard'!$L$3:$L$6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Weekly Completions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Completed</c:v>
          </c:tx>
          <c:marker>
            <c:symbol val="none"/>
          </c:marker>
          <c:cat>
            <c:strRef>
              <c:f>'Dashboard'!$N$3:$N$8</c:f>
              <c:strCache>
                <c:ptCount val="0"/>
              </c:strCache>
            </c:strRef>
          </c:cat>
          <c:val>
            <c:numRef>
              <c:f>'Dashboard'!$O$3:$O$8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Satisfaction Trend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Satisfaction</c:v>
          </c:tx>
          <c:marker>
            <c:symbol val="none"/>
          </c:marker>
          <c:cat>
            <c:strRef>
              <c:f>'Dashboard'!$Q$3:$Q$8</c:f>
              <c:strCache>
                <c:ptCount val="0"/>
              </c:strCache>
            </c:strRef>
          </c:cat>
          <c:val>
            <c:numRef>
              <c:f>'Dashboard'!$R$3:$R$8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Baseline vs Actual Cost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Baseline Budget</c:v>
          </c:tx>
          <c:cat>
            <c:strRef>
              <c:f>'Budget'!$A$2:$A$7</c:f>
              <c:strCache>
                <c:ptCount val="0"/>
              </c:strCache>
            </c:strRef>
          </c:cat>
          <c:val>
            <c:numRef>
              <c:f>'Budget'!$B$2:$B$7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Actual Cost</c:v>
          </c:tx>
          <c:cat>
            <c:strRef>
              <c:f>'Budget'!$A$2:$A$7</c:f>
              <c:strCache>
                <c:ptCount val="0"/>
              </c:strCache>
            </c:strRef>
          </c:cat>
          <c:val>
            <c:numRef>
              <c:f>'Budget'!$C$2:$C$7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8</xdr:row>
      <xdr:rowOff>0</xdr:rowOff>
    </xdr:from>
    <xdr:to>
      <xdr:col>18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fefeff133f4280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9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84e519d61f4306"/>
        </a:graphicData>
      </a:graphic>
    </xdr:graphicFrame>
    <xdr:clientData/>
  </xdr:twoCellAnchor>
  <xdr:twoCellAnchor>
    <xdr:from>
      <xdr:col>10</xdr:col>
      <xdr:colOff>0</xdr:colOff>
      <xdr:row>23</xdr:row>
      <xdr:rowOff>0</xdr:rowOff>
    </xdr:from>
    <xdr:to>
      <xdr:col>18</xdr:col>
      <xdr:colOff>0</xdr:colOff>
      <xdr:row>37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b0ccba24694a93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9</xdr:col>
      <xdr:colOff>0</xdr:colOff>
      <xdr:row>52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f9abb0b8ec48f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6b213625184143a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2" hidden="0" customWidth="1"/>
    <x:col min="4" max="4" width="11" hidden="0" customWidth="1"/>
    <x:col min="5" max="5" width="11" hidden="0" customWidth="1"/>
    <x:col min="6" max="6" width="13" hidden="0" customWidth="1"/>
    <x:col min="7" max="7" width="14" hidden="0" customWidth="1"/>
    <x:col min="8" max="8" width="16" hidden="0" customWidth="1"/>
    <x:col min="9" max="9" width="11" hidden="0" customWidth="1"/>
    <x:col min="10" max="10" width="12" hidden="0" customWidth="1"/>
    <x:col min="11" max="11" width="16" hidden="0" customWidth="1"/>
    <x:col min="12" max="12" width="14" hidden="0" customWidth="1"/>
    <x:col min="13" max="13" width="20" hidden="0" customWidth="1"/>
  </x:cols>
  <x:sheetData>
    <x:row r="1">
      <x:c r="A1" s="10" t="str">
        <x:v>Week</x:v>
      </x:c>
      <x:c r="B1" s="10" t="str">
        <x:v>Invited</x:v>
      </x:c>
      <x:c r="C1" s="10" t="str">
        <x:v>Registered</x:v>
      </x:c>
      <x:c r="D1" s="10" t="str">
        <x:v>Attended</x:v>
      </x:c>
      <x:c r="E1" s="10" t="str">
        <x:v>Completed</x:v>
      </x:c>
      <x:c r="F1" s="10" t="str">
        <x:v>Attendance %</x:v>
      </x:c>
      <x:c r="G1" s="10" t="str">
        <x:v>Completion %</x:v>
      </x:c>
      <x:c r="H1" s="10" t="str">
        <x:v>Avg Satisfaction</x:v>
      </x:c>
      <x:c r="I1" s="10" t="str">
        <x:v>Open Issues</x:v>
      </x:c>
      <x:c r="J1" s="10" t="str">
        <x:v>Closed Issues</x:v>
      </x:c>
      <x:c r="K1" s="10" t="str">
        <x:v>Sessions Delivered</x:v>
      </x:c>
      <x:c r="L1" s="10" t="str">
        <x:v>Milestones Due</x:v>
      </x:c>
      <x:c r="M1" s="10" t="str">
        <x:v>Milestones Completed</x:v>
      </x:c>
    </x:row>
    <x:row r="2">
      <x:c r="A2" s="16" t="str">
        <x:v>Week 1</x:v>
      </x:c>
      <x:c r="B2" s="16" t="n">
        <x:v>180</x:v>
      </x:c>
      <x:c r="C2" s="16" t="n">
        <x:v>165</x:v>
      </x:c>
      <x:c r="D2" s="16" t="n">
        <x:v>154</x:v>
      </x:c>
      <x:c r="E2" s="16" t="n">
        <x:v>145</x:v>
      </x:c>
      <x:c r="F2" s="17" t="n">
        <x:f>IFERROR(D2/C2,0)</x:f>
        <x:v>0.9333333333333333</x:v>
      </x:c>
      <x:c r="G2" s="17" t="n">
        <x:f>IFERROR(E2/D2,0)</x:f>
        <x:v>0.9415584415584416</x:v>
      </x:c>
      <x:c r="H2" s="18" t="n">
        <x:v>4.3</x:v>
      </x:c>
      <x:c r="I2" s="16" t="n">
        <x:v>3</x:v>
      </x:c>
      <x:c r="J2" s="16" t="n">
        <x:v>1</x:v>
      </x:c>
      <x:c r="K2" s="16" t="n">
        <x:v>6</x:v>
      </x:c>
      <x:c r="L2" s="16" t="n">
        <x:v>2</x:v>
      </x:c>
      <x:c r="M2" s="16" t="n">
        <x:v>2</x:v>
      </x:c>
    </x:row>
    <x:row r="3">
      <x:c r="A3" s="16" t="str">
        <x:v>Week 2</x:v>
      </x:c>
      <x:c r="B3" s="16" t="n">
        <x:v>220</x:v>
      </x:c>
      <x:c r="C3" s="16" t="n">
        <x:v>207</x:v>
      </x:c>
      <x:c r="D3" s="16" t="n">
        <x:v>196</x:v>
      </x:c>
      <x:c r="E3" s="16" t="n">
        <x:v>188</x:v>
      </x:c>
      <x:c r="F3" s="17" t="n">
        <x:f>IFERROR(D3/C3,0)</x:f>
        <x:v>0.9468599033816425</x:v>
      </x:c>
      <x:c r="G3" s="17" t="n">
        <x:f>IFERROR(E3/D3,0)</x:f>
        <x:v>0.9591836734693877</x:v>
      </x:c>
      <x:c r="H3" s="18" t="n">
        <x:v>4.4</x:v>
      </x:c>
      <x:c r="I3" s="16" t="n">
        <x:v>4</x:v>
      </x:c>
      <x:c r="J3" s="16" t="n">
        <x:v>2</x:v>
      </x:c>
      <x:c r="K3" s="16" t="n">
        <x:v>8</x:v>
      </x:c>
      <x:c r="L3" s="16" t="n">
        <x:v>2</x:v>
      </x:c>
      <x:c r="M3" s="16" t="n">
        <x:v>2</x:v>
      </x:c>
    </x:row>
    <x:row r="4">
      <x:c r="A4" s="16" t="str">
        <x:v>Week 3</x:v>
      </x:c>
      <x:c r="B4" s="16" t="n">
        <x:v>245</x:v>
      </x:c>
      <x:c r="C4" s="16" t="n">
        <x:v>236</x:v>
      </x:c>
      <x:c r="D4" s="16" t="n">
        <x:v>226</x:v>
      </x:c>
      <x:c r="E4" s="16" t="n">
        <x:v>218</x:v>
      </x:c>
      <x:c r="F4" s="17" t="n">
        <x:f>IFERROR(D4/C4,0)</x:f>
        <x:v>0.9576271186440678</x:v>
      </x:c>
      <x:c r="G4" s="17" t="n">
        <x:f>IFERROR(E4/D4,0)</x:f>
        <x:v>0.9646017699115044</x:v>
      </x:c>
      <x:c r="H4" s="18" t="n">
        <x:v>4.5</x:v>
      </x:c>
      <x:c r="I4" s="16" t="n">
        <x:v>3</x:v>
      </x:c>
      <x:c r="J4" s="16" t="n">
        <x:v>3</x:v>
      </x:c>
      <x:c r="K4" s="16" t="n">
        <x:v>9</x:v>
      </x:c>
      <x:c r="L4" s="16" t="n">
        <x:v>2</x:v>
      </x:c>
      <x:c r="M4" s="16" t="n">
        <x:v>2</x:v>
      </x:c>
    </x:row>
    <x:row r="5">
      <x:c r="A5" s="16" t="str">
        <x:v>Week 4</x:v>
      </x:c>
      <x:c r="B5" s="16" t="n">
        <x:v>270</x:v>
      </x:c>
      <x:c r="C5" s="16" t="n">
        <x:v>261</x:v>
      </x:c>
      <x:c r="D5" s="16" t="n">
        <x:v>252</x:v>
      </x:c>
      <x:c r="E5" s="16" t="n">
        <x:v>246</x:v>
      </x:c>
      <x:c r="F5" s="17" t="n">
        <x:f>IFERROR(D5/C5,0)</x:f>
        <x:v>0.9655172413793104</x:v>
      </x:c>
      <x:c r="G5" s="17" t="n">
        <x:f>IFERROR(E5/D5,0)</x:f>
        <x:v>0.9761904761904762</x:v>
      </x:c>
      <x:c r="H5" s="18" t="n">
        <x:v>4.6</x:v>
      </x:c>
      <x:c r="I5" s="16" t="n">
        <x:v>2</x:v>
      </x:c>
      <x:c r="J5" s="16" t="n">
        <x:v>3</x:v>
      </x:c>
      <x:c r="K5" s="16" t="n">
        <x:v>10</x:v>
      </x:c>
      <x:c r="L5" s="16" t="n">
        <x:v>2</x:v>
      </x:c>
      <x:c r="M5" s="16" t="n">
        <x:v>2</x:v>
      </x:c>
    </x:row>
    <x:row r="6">
      <x:c r="A6" s="16" t="str">
        <x:v>Week 5</x:v>
      </x:c>
      <x:c r="B6" s="16" t="n">
        <x:v>300</x:v>
      </x:c>
      <x:c r="C6" s="16" t="n">
        <x:v>292</x:v>
      </x:c>
      <x:c r="D6" s="16" t="n">
        <x:v>283</x:v>
      </x:c>
      <x:c r="E6" s="16" t="n">
        <x:v>278</x:v>
      </x:c>
      <x:c r="F6" s="17" t="n">
        <x:f>IFERROR(D6/C6,0)</x:f>
        <x:v>0.9691780821917808</x:v>
      </x:c>
      <x:c r="G6" s="17" t="n">
        <x:f>IFERROR(E6/D6,0)</x:f>
        <x:v>0.9823321554770318</x:v>
      </x:c>
      <x:c r="H6" s="18" t="n">
        <x:v>4.6</x:v>
      </x:c>
      <x:c r="I6" s="16" t="n">
        <x:v>1</x:v>
      </x:c>
      <x:c r="J6" s="16" t="n">
        <x:v>2</x:v>
      </x:c>
      <x:c r="K6" s="16" t="n">
        <x:v>11</x:v>
      </x:c>
      <x:c r="L6" s="16" t="n">
        <x:v>1</x:v>
      </x:c>
      <x:c r="M6" s="16" t="n">
        <x:v>1</x:v>
      </x:c>
    </x:row>
    <x:row r="7">
      <x:c r="A7" s="16" t="str">
        <x:v>Week 6</x:v>
      </x:c>
      <x:c r="B7" s="16" t="n">
        <x:v>325</x:v>
      </x:c>
      <x:c r="C7" s="16" t="n">
        <x:v>319</x:v>
      </x:c>
      <x:c r="D7" s="16" t="n">
        <x:v>312</x:v>
      </x:c>
      <x:c r="E7" s="16" t="n">
        <x:v>307</x:v>
      </x:c>
      <x:c r="F7" s="17" t="n">
        <x:f>IFERROR(D7/C7,0)</x:f>
        <x:v>0.9780564263322884</x:v>
      </x:c>
      <x:c r="G7" s="17" t="n">
        <x:f>IFERROR(E7/D7,0)</x:f>
        <x:v>0.9839743589743589</x:v>
      </x:c>
      <x:c r="H7" s="18" t="n">
        <x:v>4.7</x:v>
      </x:c>
      <x:c r="I7" s="16" t="n">
        <x:v>0</x:v>
      </x:c>
      <x:c r="J7" s="16" t="n">
        <x:v>1</x:v>
      </x:c>
      <x:c r="K7" s="16" t="n">
        <x:v>12</x:v>
      </x:c>
      <x:c r="L7" s="16" t="n">
        <x:v>1</x:v>
      </x:c>
      <x:c r="M7" s="16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2" hidden="0" customWidth="1"/>
    <x:col min="4" max="4" width="11" hidden="0" customWidth="1"/>
    <x:col min="5" max="5" width="11" hidden="0" customWidth="1"/>
    <x:col min="6" max="6" width="13" hidden="0" customWidth="1"/>
    <x:col min="7" max="7" width="14" hidden="0" customWidth="1"/>
    <x:col min="8" max="8" width="16" hidden="0" customWidth="1"/>
    <x:col min="9" max="9" width="16" hidden="0" customWidth="1"/>
    <x:col min="10" max="10" width="18" hidden="0" customWidth="1"/>
    <x:col min="11" max="11" width="28" hidden="0" customWidth="1"/>
    <x:col min="12" max="12" width="12" hidden="0" customWidth="1"/>
  </x:cols>
  <x:sheetData>
    <x:row r="1">
      <x:c r="A1" s="10" t="str">
        <x:v>Region</x:v>
      </x:c>
      <x:c r="B1" s="10" t="str">
        <x:v>Target Leaders</x:v>
      </x:c>
      <x:c r="C1" s="10" t="str">
        <x:v>Registered</x:v>
      </x:c>
      <x:c r="D1" s="10" t="str">
        <x:v>Attended</x:v>
      </x:c>
      <x:c r="E1" s="10" t="str">
        <x:v>Completed</x:v>
      </x:c>
      <x:c r="F1" s="10" t="str">
        <x:v>Attendance %</x:v>
      </x:c>
      <x:c r="G1" s="10" t="str">
        <x:v>Completion %</x:v>
      </x:c>
      <x:c r="H1" s="10" t="str">
        <x:v>Avg Satisfaction</x:v>
      </x:c>
      <x:c r="I1" s="10" t="str">
        <x:v>Sessions Planned</x:v>
      </x:c>
      <x:c r="J1" s="10" t="str">
        <x:v>Sessions Delivered</x:v>
      </x:c>
      <x:c r="K1" s="10" t="str">
        <x:v>Language Coverage</x:v>
      </x:c>
      <x:c r="L1" s="10" t="str">
        <x:v>Status</x:v>
      </x:c>
    </x:row>
    <x:row r="2">
      <x:c r="A2" s="16" t="str">
        <x:v>North America</x:v>
      </x:c>
      <x:c r="B2" s="16" t="n">
        <x:v>360</x:v>
      </x:c>
      <x:c r="C2" s="16" t="n">
        <x:v>350</x:v>
      </x:c>
      <x:c r="D2" s="16" t="n">
        <x:v>342</x:v>
      </x:c>
      <x:c r="E2" s="16" t="n">
        <x:v>337</x:v>
      </x:c>
      <x:c r="F2" s="17" t="n">
        <x:f>IFERROR(D2/C2,0)</x:f>
        <x:v>0.9771428571428571</x:v>
      </x:c>
      <x:c r="G2" s="17" t="n">
        <x:f>IFERROR(E2/D2,0)</x:f>
        <x:v>0.9853801169590644</x:v>
      </x:c>
      <x:c r="H2" s="16" t="n">
        <x:v>4.7</x:v>
      </x:c>
      <x:c r="I2" s="16" t="n">
        <x:v>12</x:v>
      </x:c>
      <x:c r="J2" s="16" t="n">
        <x:v>12</x:v>
      </x:c>
      <x:c r="K2" s="16" t="str">
        <x:v>English / French</x:v>
      </x:c>
      <x:c r="L2" s="16" t="str">
        <x:v>Complete</x:v>
      </x:c>
    </x:row>
    <x:row r="3">
      <x:c r="A3" s="16" t="str">
        <x:v>EMEA</x:v>
      </x:c>
      <x:c r="B3" s="16" t="n">
        <x:v>330</x:v>
      </x:c>
      <x:c r="C3" s="16" t="n">
        <x:v>321</x:v>
      </x:c>
      <x:c r="D3" s="16" t="n">
        <x:v>309</x:v>
      </x:c>
      <x:c r="E3" s="16" t="n">
        <x:v>301</x:v>
      </x:c>
      <x:c r="F3" s="17" t="n">
        <x:f>IFERROR(D3/C3,0)</x:f>
        <x:v>0.9626168224299065</x:v>
      </x:c>
      <x:c r="G3" s="17" t="n">
        <x:f>IFERROR(E3/D3,0)</x:f>
        <x:v>0.9741100323624595</x:v>
      </x:c>
      <x:c r="H3" s="16" t="n">
        <x:v>4.6</x:v>
      </x:c>
      <x:c r="I3" s="16" t="n">
        <x:v>12</x:v>
      </x:c>
      <x:c r="J3" s="16" t="n">
        <x:v>12</x:v>
      </x:c>
      <x:c r="K3" s="16" t="str">
        <x:v>English / French / German</x:v>
      </x:c>
      <x:c r="L3" s="16" t="str">
        <x:v>Complete</x:v>
      </x:c>
    </x:row>
    <x:row r="4">
      <x:c r="A4" s="16" t="str">
        <x:v>APAC</x:v>
      </x:c>
      <x:c r="B4" s="16" t="n">
        <x:v>300</x:v>
      </x:c>
      <x:c r="C4" s="16" t="n">
        <x:v>288</x:v>
      </x:c>
      <x:c r="D4" s="16" t="n">
        <x:v>278</x:v>
      </x:c>
      <x:c r="E4" s="16" t="n">
        <x:v>270</x:v>
      </x:c>
      <x:c r="F4" s="17" t="n">
        <x:f>IFERROR(D4/C4,0)</x:f>
        <x:v>0.9652777777777778</x:v>
      </x:c>
      <x:c r="G4" s="17" t="n">
        <x:f>IFERROR(E4/D4,0)</x:f>
        <x:v>0.9712230215827338</x:v>
      </x:c>
      <x:c r="H4" s="16" t="n">
        <x:v>4.6</x:v>
      </x:c>
      <x:c r="I4" s="16" t="n">
        <x:v>11</x:v>
      </x:c>
      <x:c r="J4" s="16" t="n">
        <x:v>11</x:v>
      </x:c>
      <x:c r="K4" s="16" t="str">
        <x:v>English / Japanese</x:v>
      </x:c>
      <x:c r="L4" s="16" t="str">
        <x:v>Complete</x:v>
      </x:c>
    </x:row>
    <x:row r="5">
      <x:c r="A5" s="16" t="str">
        <x:v>LATAM</x:v>
      </x:c>
      <x:c r="B5" s="16" t="n">
        <x:v>250</x:v>
      </x:c>
      <x:c r="C5" s="16" t="n">
        <x:v>242</x:v>
      </x:c>
      <x:c r="D5" s="16" t="n">
        <x:v>231</x:v>
      </x:c>
      <x:c r="E5" s="16" t="n">
        <x:v>224</x:v>
      </x:c>
      <x:c r="F5" s="17" t="n">
        <x:f>IFERROR(D5/C5,0)</x:f>
        <x:v>0.9545454545454546</x:v>
      </x:c>
      <x:c r="G5" s="17" t="n">
        <x:f>IFERROR(E5/D5,0)</x:f>
        <x:v>0.9696969696969697</x:v>
      </x:c>
      <x:c r="H5" s="16" t="n">
        <x:v>4.5</x:v>
      </x:c>
      <x:c r="I5" s="16" t="n">
        <x:v>10</x:v>
      </x:c>
      <x:c r="J5" s="16" t="n">
        <x:v>10</x:v>
      </x:c>
      <x:c r="K5" s="16" t="str">
        <x:v>English / Spanish / Portuguese</x:v>
      </x:c>
      <x:c r="L5" s="16" t="str">
        <x:v>Complete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32" hidden="0" customWidth="1"/>
    <x:col min="4" max="4" width="20" hidden="0" customWidth="1"/>
    <x:col min="5" max="5" width="11" hidden="0" customWidth="1"/>
    <x:col min="6" max="6" width="13" hidden="0" customWidth="1"/>
    <x:col min="7" max="7" width="13" hidden="0" customWidth="1"/>
    <x:col min="8" max="8" width="13" hidden="0" customWidth="1"/>
    <x:col min="9" max="9" width="12" hidden="0" customWidth="1"/>
    <x:col min="10" max="10" width="20" hidden="0" customWidth="1"/>
    <x:col min="11" max="11" width="12" hidden="0" customWidth="1"/>
    <x:col min="12" max="12" width="10" hidden="0" customWidth="1"/>
    <x:col min="13" max="13" width="18" hidden="0" customWidth="1"/>
    <x:col min="14" max="14" width="28" hidden="0" customWidth="1"/>
  </x:cols>
  <x:sheetData>
    <x:row r="1">
      <x:c r="A1" s="10" t="str">
        <x:v>ID</x:v>
      </x:c>
      <x:c r="B1" s="10" t="str">
        <x:v>Workstream</x:v>
      </x:c>
      <x:c r="C1" s="10" t="str">
        <x:v>Task</x:v>
      </x:c>
      <x:c r="D1" s="10" t="str">
        <x:v>Owner</x:v>
      </x:c>
      <x:c r="E1" s="10" t="str">
        <x:v>Priority</x:v>
      </x:c>
      <x:c r="F1" s="10" t="str">
        <x:v>Status</x:v>
      </x:c>
      <x:c r="G1" s="10" t="str">
        <x:v>Start Date</x:v>
      </x:c>
      <x:c r="H1" s="10" t="str">
        <x:v>Due Date</x:v>
      </x:c>
      <x:c r="I1" s="10" t="str">
        <x:v>% Complete</x:v>
      </x:c>
      <x:c r="J1" s="10" t="str">
        <x:v>Dependency</x:v>
      </x:c>
      <x:c r="K1" s="10" t="str">
        <x:v>Days to Due</x:v>
      </x:c>
      <x:c r="L1" s="10" t="str">
        <x:v>Health</x:v>
      </x:c>
      <x:c r="M1" s="10" t="str">
        <x:v>Region</x:v>
      </x:c>
      <x:c r="N1" s="10" t="str">
        <x:v>Notes</x:v>
      </x:c>
    </x:row>
    <x:row r="2">
      <x:c r="A2" s="16" t="str">
        <x:v>GL-001</x:v>
      </x:c>
      <x:c r="B2" s="16" t="str">
        <x:v>Governance</x:v>
      </x:c>
      <x:c r="C2" s="16" t="str">
        <x:v>Approve program charter</x:v>
      </x:c>
      <x:c r="D2" s="16" t="str">
        <x:v>Project Coordinator</x:v>
      </x:c>
      <x:c r="E2" s="16" t="str">
        <x:v>High</x:v>
      </x:c>
      <x:c r="F2" s="16" t="str">
        <x:v>Complete</x:v>
      </x:c>
      <x:c r="G2" s="24" t="n">
        <x:v>46118</x:v>
      </x:c>
      <x:c r="H2" s="24" t="n">
        <x:v>46120</x:v>
      </x:c>
      <x:c r="I2" s="17" t="n">
        <x:v>1</x:v>
      </x:c>
      <x:c r="J2" s="16" t="str">
        <x:v>None</x:v>
      </x:c>
      <x:c r="K2" s="16" t="n">
        <x:f>IF(F2="Complete",0,H2-TODAY())</x:f>
        <x:v>0</x:v>
      </x:c>
      <x:c r="L2" s="16" t="str">
        <x:f>IF(F2="Complete","Green",IF(H2&lt;TODAY(),"Red",IF(H2-TODAY()&lt;=3,"Amber","Green")))</x:f>
        <x:v>Green</x:v>
      </x:c>
      <x:c r="M2" s="16" t="str">
        <x:v>Global</x:v>
      </x:c>
      <x:c r="N2" s="16" t="str">
        <x:v>Sponsor approval received</x:v>
      </x:c>
    </x:row>
    <x:row r="3">
      <x:c r="A3" s="16" t="str">
        <x:v>GL-002</x:v>
      </x:c>
      <x:c r="B3" s="16" t="str">
        <x:v>Curriculum</x:v>
      </x:c>
      <x:c r="C3" s="16" t="str">
        <x:v>Finalize leadership curriculum</x:v>
      </x:c>
      <x:c r="D3" s="16" t="str">
        <x:v>L&amp;D Lead</x:v>
      </x:c>
      <x:c r="E3" s="16" t="str">
        <x:v>Critical</x:v>
      </x:c>
      <x:c r="F3" s="16" t="str">
        <x:v>Complete</x:v>
      </x:c>
      <x:c r="G3" s="24" t="n">
        <x:v>46120</x:v>
      </x:c>
      <x:c r="H3" s="24" t="n">
        <x:v>46129</x:v>
      </x:c>
      <x:c r="I3" s="17" t="n">
        <x:v>1</x:v>
      </x:c>
      <x:c r="J3" s="16" t="str">
        <x:v>GL-001</x:v>
      </x:c>
      <x:c r="K3" s="16" t="n">
        <x:f>IF(F3="Complete",0,H3-TODAY())</x:f>
        <x:v>0</x:v>
      </x:c>
      <x:c r="L3" s="16" t="str">
        <x:f>IF(F3="Complete","Green",IF(H3&lt;TODAY(),"Red",IF(H3-TODAY()&lt;=3,"Amber","Green")))</x:f>
        <x:v>Green</x:v>
      </x:c>
      <x:c r="M3" s="16" t="str">
        <x:v>Global</x:v>
      </x:c>
      <x:c r="N3" s="16" t="str">
        <x:v>Core modules baselined</x:v>
      </x:c>
    </x:row>
    <x:row r="4">
      <x:c r="A4" s="16" t="str">
        <x:v>GL-003</x:v>
      </x:c>
      <x:c r="B4" s="16" t="str">
        <x:v>Localization</x:v>
      </x:c>
      <x:c r="C4" s="16" t="str">
        <x:v>Complete regional localization</x:v>
      </x:c>
      <x:c r="D4" s="16" t="str">
        <x:v>Regional HR Leads</x:v>
      </x:c>
      <x:c r="E4" s="16" t="str">
        <x:v>High</x:v>
      </x:c>
      <x:c r="F4" s="16" t="str">
        <x:v>Complete</x:v>
      </x:c>
      <x:c r="G4" s="24" t="n">
        <x:v>46125</x:v>
      </x:c>
      <x:c r="H4" s="24" t="n">
        <x:v>46136</x:v>
      </x:c>
      <x:c r="I4" s="17" t="n">
        <x:v>1</x:v>
      </x:c>
      <x:c r="J4" s="16" t="str">
        <x:v>GL-002</x:v>
      </x:c>
      <x:c r="K4" s="16" t="n">
        <x:f>IF(F4="Complete",0,H4-TODAY())</x:f>
        <x:v>0</x:v>
      </x:c>
      <x:c r="L4" s="16" t="str">
        <x:f>IF(F4="Complete","Green",IF(H4&lt;TODAY(),"Red",IF(H4-TODAY()&lt;=3,"Amber","Green")))</x:f>
        <x:v>Green</x:v>
      </x:c>
      <x:c r="M4" s="16" t="str">
        <x:v>EMEA/APAC/LATAM</x:v>
      </x:c>
      <x:c r="N4" s="16" t="str">
        <x:v>Language review complete</x:v>
      </x:c>
    </x:row>
    <x:row r="5">
      <x:c r="A5" s="16" t="str">
        <x:v>GL-004</x:v>
      </x:c>
      <x:c r="B5" s="16" t="str">
        <x:v>Technology</x:v>
      </x:c>
      <x:c r="C5" s="16" t="str">
        <x:v>Configure LMS enrollment rules</x:v>
      </x:c>
      <x:c r="D5" s="16" t="str">
        <x:v>LMS Administrator</x:v>
      </x:c>
      <x:c r="E5" s="16" t="str">
        <x:v>Critical</x:v>
      </x:c>
      <x:c r="F5" s="16" t="str">
        <x:v>Complete</x:v>
      </x:c>
      <x:c r="G5" s="24" t="n">
        <x:v>46125</x:v>
      </x:c>
      <x:c r="H5" s="24" t="n">
        <x:v>46134</x:v>
      </x:c>
      <x:c r="I5" s="17" t="n">
        <x:v>1</x:v>
      </x:c>
      <x:c r="J5" s="16" t="str">
        <x:v>GL-001</x:v>
      </x:c>
      <x:c r="K5" s="16" t="n">
        <x:f>IF(F5="Complete",0,H5-TODAY())</x:f>
        <x:v>0</x:v>
      </x:c>
      <x:c r="L5" s="16" t="str">
        <x:f>IF(F5="Complete","Green",IF(H5&lt;TODAY(),"Red",IF(H5-TODAY()&lt;=3,"Amber","Green")))</x:f>
        <x:v>Green</x:v>
      </x:c>
      <x:c r="M5" s="16" t="str">
        <x:v>Global</x:v>
      </x:c>
      <x:c r="N5" s="16" t="str">
        <x:v>Automated enrollment enabled</x:v>
      </x:c>
    </x:row>
    <x:row r="6">
      <x:c r="A6" s="16" t="str">
        <x:v>GL-005</x:v>
      </x:c>
      <x:c r="B6" s="16" t="str">
        <x:v>Facilitators</x:v>
      </x:c>
      <x:c r="C6" s="16" t="str">
        <x:v>Confirm facilitator roster</x:v>
      </x:c>
      <x:c r="D6" s="16" t="str">
        <x:v>L&amp;D Lead</x:v>
      </x:c>
      <x:c r="E6" s="16" t="str">
        <x:v>High</x:v>
      </x:c>
      <x:c r="F6" s="16" t="str">
        <x:v>Complete</x:v>
      </x:c>
      <x:c r="G6" s="24" t="n">
        <x:v>46127</x:v>
      </x:c>
      <x:c r="H6" s="24" t="n">
        <x:v>46136</x:v>
      </x:c>
      <x:c r="I6" s="17" t="n">
        <x:v>1</x:v>
      </x:c>
      <x:c r="J6" s="16" t="str">
        <x:v>GL-002</x:v>
      </x:c>
      <x:c r="K6" s="16" t="n">
        <x:f>IF(F6="Complete",0,H6-TODAY())</x:f>
        <x:v>0</x:v>
      </x:c>
      <x:c r="L6" s="16" t="str">
        <x:f>IF(F6="Complete","Green",IF(H6&lt;TODAY(),"Red",IF(H6-TODAY()&lt;=3,"Amber","Green")))</x:f>
        <x:v>Green</x:v>
      </x:c>
      <x:c r="M6" s="16" t="str">
        <x:v>Global</x:v>
      </x:c>
      <x:c r="N6" s="16" t="str">
        <x:v>Backups identified</x:v>
      </x:c>
    </x:row>
    <x:row r="7">
      <x:c r="A7" s="16" t="str">
        <x:v>GL-006</x:v>
      </x:c>
      <x:c r="B7" s="16" t="str">
        <x:v>Scheduling</x:v>
      </x:c>
      <x:c r="C7" s="16" t="str">
        <x:v>Publish regional session calendar</x:v>
      </x:c>
      <x:c r="D7" s="16" t="str">
        <x:v>Project Coordinator</x:v>
      </x:c>
      <x:c r="E7" s="16" t="str">
        <x:v>Critical</x:v>
      </x:c>
      <x:c r="F7" s="16" t="str">
        <x:v>Complete</x:v>
      </x:c>
      <x:c r="G7" s="24" t="n">
        <x:v>46132</x:v>
      </x:c>
      <x:c r="H7" s="24" t="n">
        <x:v>46141</x:v>
      </x:c>
      <x:c r="I7" s="17" t="n">
        <x:v>1</x:v>
      </x:c>
      <x:c r="J7" s="16" t="str">
        <x:v>GL-003, GL-005</x:v>
      </x:c>
      <x:c r="K7" s="16" t="n">
        <x:f>IF(F7="Complete",0,H7-TODAY())</x:f>
        <x:v>0</x:v>
      </x:c>
      <x:c r="L7" s="16" t="str">
        <x:f>IF(F7="Complete","Green",IF(H7&lt;TODAY(),"Red",IF(H7-TODAY()&lt;=3,"Amber","Green")))</x:f>
        <x:v>Green</x:v>
      </x:c>
      <x:c r="M7" s="16" t="str">
        <x:v>Global</x:v>
      </x:c>
      <x:c r="N7" s="16" t="str">
        <x:v>Time zones validated</x:v>
      </x:c>
    </x:row>
    <x:row r="8">
      <x:c r="A8" s="16" t="str">
        <x:v>GL-007</x:v>
      </x:c>
      <x:c r="B8" s="16" t="str">
        <x:v>Communications</x:v>
      </x:c>
      <x:c r="C8" s="16" t="str">
        <x:v>Launch participant communications</x:v>
      </x:c>
      <x:c r="D8" s="16" t="str">
        <x:v>HR Communications</x:v>
      </x:c>
      <x:c r="E8" s="16" t="str">
        <x:v>High</x:v>
      </x:c>
      <x:c r="F8" s="16" t="str">
        <x:v>Complete</x:v>
      </x:c>
      <x:c r="G8" s="24" t="n">
        <x:v>46139</x:v>
      </x:c>
      <x:c r="H8" s="24" t="n">
        <x:v>46143</x:v>
      </x:c>
      <x:c r="I8" s="17" t="n">
        <x:v>1</x:v>
      </x:c>
      <x:c r="J8" s="16" t="str">
        <x:v>GL-006</x:v>
      </x:c>
      <x:c r="K8" s="16" t="n">
        <x:f>IF(F8="Complete",0,H8-TODAY())</x:f>
        <x:v>0</x:v>
      </x:c>
      <x:c r="L8" s="16" t="str">
        <x:f>IF(F8="Complete","Green",IF(H8&lt;TODAY(),"Red",IF(H8-TODAY()&lt;=3,"Amber","Green")))</x:f>
        <x:v>Green</x:v>
      </x:c>
      <x:c r="M8" s="16" t="str">
        <x:v>Global</x:v>
      </x:c>
      <x:c r="N8" s="16" t="str">
        <x:v>Manager toolkit included</x:v>
      </x:c>
    </x:row>
    <x:row r="9">
      <x:c r="A9" s="16" t="str">
        <x:v>GL-008</x:v>
      </x:c>
      <x:c r="B9" s="16" t="str">
        <x:v>Delivery</x:v>
      </x:c>
      <x:c r="C9" s="16" t="str">
        <x:v>Deliver North America cohort</x:v>
      </x:c>
      <x:c r="D9" s="16" t="str">
        <x:v>Regional HR Lead</x:v>
      </x:c>
      <x:c r="E9" s="16" t="str">
        <x:v>Critical</x:v>
      </x:c>
      <x:c r="F9" s="16" t="str">
        <x:v>Complete</x:v>
      </x:c>
      <x:c r="G9" s="24" t="n">
        <x:v>46146</x:v>
      </x:c>
      <x:c r="H9" s="24" t="n">
        <x:v>46157</x:v>
      </x:c>
      <x:c r="I9" s="17" t="n">
        <x:v>1</x:v>
      </x:c>
      <x:c r="J9" s="16" t="str">
        <x:v>GL-004, GL-006, GL-007</x:v>
      </x:c>
      <x:c r="K9" s="16" t="n">
        <x:f>IF(F9="Complete",0,H9-TODAY())</x:f>
        <x:v>0</x:v>
      </x:c>
      <x:c r="L9" s="16" t="str">
        <x:f>IF(F9="Complete","Green",IF(H9&lt;TODAY(),"Red",IF(H9-TODAY()&lt;=3,"Amber","Green")))</x:f>
        <x:v>Green</x:v>
      </x:c>
      <x:c r="M9" s="16" t="str">
        <x:v>North America</x:v>
      </x:c>
      <x:c r="N9" s="16" t="str">
        <x:v>12 sessions delivered</x:v>
      </x:c>
    </x:row>
    <x:row r="10">
      <x:c r="A10" s="16" t="str">
        <x:v>GL-009</x:v>
      </x:c>
      <x:c r="B10" s="16" t="str">
        <x:v>Delivery</x:v>
      </x:c>
      <x:c r="C10" s="16" t="str">
        <x:v>Deliver EMEA cohort</x:v>
      </x:c>
      <x:c r="D10" s="16" t="str">
        <x:v>Regional HR Lead</x:v>
      </x:c>
      <x:c r="E10" s="16" t="str">
        <x:v>Critical</x:v>
      </x:c>
      <x:c r="F10" s="16" t="str">
        <x:v>Complete</x:v>
      </x:c>
      <x:c r="G10" s="24" t="n">
        <x:v>46153</x:v>
      </x:c>
      <x:c r="H10" s="24" t="n">
        <x:v>46164</x:v>
      </x:c>
      <x:c r="I10" s="17" t="n">
        <x:v>1</x:v>
      </x:c>
      <x:c r="J10" s="16" t="str">
        <x:v>GL-004, GL-006, GL-007</x:v>
      </x:c>
      <x:c r="K10" s="16" t="n">
        <x:f>IF(F10="Complete",0,H10-TODAY())</x:f>
        <x:v>0</x:v>
      </x:c>
      <x:c r="L10" s="16" t="str">
        <x:f>IF(F10="Complete","Green",IF(H10&lt;TODAY(),"Red",IF(H10-TODAY()&lt;=3,"Amber","Green")))</x:f>
        <x:v>Green</x:v>
      </x:c>
      <x:c r="M10" s="16" t="str">
        <x:v>EMEA</x:v>
      </x:c>
      <x:c r="N10" s="16" t="str">
        <x:v>12 sessions delivered</x:v>
      </x:c>
    </x:row>
    <x:row r="11">
      <x:c r="A11" s="16" t="str">
        <x:v>GL-010</x:v>
      </x:c>
      <x:c r="B11" s="16" t="str">
        <x:v>Delivery</x:v>
      </x:c>
      <x:c r="C11" s="16" t="str">
        <x:v>Deliver APAC cohort</x:v>
      </x:c>
      <x:c r="D11" s="16" t="str">
        <x:v>Regional HR Lead</x:v>
      </x:c>
      <x:c r="E11" s="16" t="str">
        <x:v>Critical</x:v>
      </x:c>
      <x:c r="F11" s="16" t="str">
        <x:v>Complete</x:v>
      </x:c>
      <x:c r="G11" s="24" t="n">
        <x:v>46160</x:v>
      </x:c>
      <x:c r="H11" s="24" t="n">
        <x:v>46171</x:v>
      </x:c>
      <x:c r="I11" s="17" t="n">
        <x:v>1</x:v>
      </x:c>
      <x:c r="J11" s="16" t="str">
        <x:v>GL-004, GL-006, GL-007</x:v>
      </x:c>
      <x:c r="K11" s="16" t="n">
        <x:f>IF(F11="Complete",0,H11-TODAY())</x:f>
        <x:v>0</x:v>
      </x:c>
      <x:c r="L11" s="16" t="str">
        <x:f>IF(F11="Complete","Green",IF(H11&lt;TODAY(),"Red",IF(H11-TODAY()&lt;=3,"Amber","Green")))</x:f>
        <x:v>Green</x:v>
      </x:c>
      <x:c r="M11" s="16" t="str">
        <x:v>APAC</x:v>
      </x:c>
      <x:c r="N11" s="16" t="str">
        <x:v>11 sessions delivered</x:v>
      </x:c>
    </x:row>
    <x:row r="12">
      <x:c r="A12" s="16" t="str">
        <x:v>GL-011</x:v>
      </x:c>
      <x:c r="B12" s="16" t="str">
        <x:v>Delivery</x:v>
      </x:c>
      <x:c r="C12" s="16" t="str">
        <x:v>Deliver LATAM cohort</x:v>
      </x:c>
      <x:c r="D12" s="16" t="str">
        <x:v>Regional HR Lead</x:v>
      </x:c>
      <x:c r="E12" s="16" t="str">
        <x:v>Critical</x:v>
      </x:c>
      <x:c r="F12" s="16" t="str">
        <x:v>Complete</x:v>
      </x:c>
      <x:c r="G12" s="24" t="n">
        <x:v>46167</x:v>
      </x:c>
      <x:c r="H12" s="24" t="n">
        <x:v>46178</x:v>
      </x:c>
      <x:c r="I12" s="17" t="n">
        <x:v>1</x:v>
      </x:c>
      <x:c r="J12" s="16" t="str">
        <x:v>GL-004, GL-006, GL-007</x:v>
      </x:c>
      <x:c r="K12" s="16" t="n">
        <x:f>IF(F12="Complete",0,H12-TODAY())</x:f>
        <x:v>0</x:v>
      </x:c>
      <x:c r="L12" s="16" t="str">
        <x:f>IF(F12="Complete","Green",IF(H12&lt;TODAY(),"Red",IF(H12-TODAY()&lt;=3,"Amber","Green")))</x:f>
        <x:v>Green</x:v>
      </x:c>
      <x:c r="M12" s="16" t="str">
        <x:v>LATAM</x:v>
      </x:c>
      <x:c r="N12" s="16" t="str">
        <x:v>10 sessions delivered</x:v>
      </x:c>
    </x:row>
    <x:row r="13">
      <x:c r="A13" s="16" t="str">
        <x:v>GL-012</x:v>
      </x:c>
      <x:c r="B13" s="16" t="str">
        <x:v>Reporting</x:v>
      </x:c>
      <x:c r="C13" s="16" t="str">
        <x:v>Complete final evaluation and closeout</x:v>
      </x:c>
      <x:c r="D13" s="16" t="str">
        <x:v>Project Coordinator</x:v>
      </x:c>
      <x:c r="E13" s="16" t="str">
        <x:v>High</x:v>
      </x:c>
      <x:c r="F13" s="16" t="str">
        <x:v>Complete</x:v>
      </x:c>
      <x:c r="G13" s="24" t="n">
        <x:v>46174</x:v>
      </x:c>
      <x:c r="H13" s="24" t="n">
        <x:v>46185</x:v>
      </x:c>
      <x:c r="I13" s="17" t="n">
        <x:v>1</x:v>
      </x:c>
      <x:c r="J13" s="16" t="str">
        <x:v>GL-008, GL-009, GL-010, GL-011</x:v>
      </x:c>
      <x:c r="K13" s="16" t="n">
        <x:f>IF(F13="Complete",0,H13-TODAY())</x:f>
        <x:v>0</x:v>
      </x:c>
      <x:c r="L13" s="16" t="str">
        <x:f>IF(F13="Complete","Green",IF(H13&lt;TODAY(),"Red",IF(H13-TODAY()&lt;=3,"Amber","Green")))</x:f>
        <x:v>Green</x:v>
      </x:c>
      <x:c r="M13" s="16" t="str">
        <x:v>Global</x:v>
      </x:c>
      <x:c r="N13" s="16" t="str">
        <x:v>Executive closeout approved</x:v>
      </x:c>
    </x:row>
  </x:sheetData>
  <x:conditionalFormatting sqref="L2:L13">
    <x:cfRule type="expression" dxfId="0" priority="1">
      <x:formula>L2="Red"</x:formula>
    </x:cfRule>
    <x:cfRule type="expression" dxfId="1" priority="2">
      <x:formula>L2="Amber"</x:formula>
    </x:cfRule>
    <x:cfRule type="expression" dxfId="2" priority="3">
      <x:formula>L2="Green"</x:formula>
    </x:cfRule>
  </x:conditionalFormatting>
  <x:dataValidations count="2">
    <x:dataValidation type="list" sqref="E2:E13">
      <x:formula1>"Low,Medium,High,Critical"</x:formula1>
    </x:dataValidation>
    <x:dataValidation type="list" sqref="F2:F13">
      <x:formula1>"Not Started,In Progress,Blocked,Complete"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3" hidden="0" customWidth="1"/>
    <x:col min="4" max="4" width="13" hidden="0" customWidth="1"/>
    <x:col min="5" max="5" width="18" hidden="0" customWidth="1"/>
    <x:col min="6" max="6" width="10" hidden="0" customWidth="1"/>
    <x:col min="7" max="7" width="11" hidden="0" customWidth="1"/>
    <x:col min="8" max="8" width="10" hidden="0" customWidth="1"/>
    <x:col min="9" max="9" width="10" hidden="0" customWidth="1"/>
    <x:col min="10" max="10" width="13" hidden="0" customWidth="1"/>
    <x:col min="11" max="11" width="14" hidden="0" customWidth="1"/>
    <x:col min="12" max="12" width="12" hidden="0" customWidth="1"/>
    <x:col min="13" max="13" width="12" hidden="0" customWidth="1"/>
  </x:cols>
  <x:sheetData>
    <x:row r="1">
      <x:c r="A1" s="10" t="str">
        <x:v>Session ID</x:v>
      </x:c>
      <x:c r="B1" s="10" t="str">
        <x:v>Region</x:v>
      </x:c>
      <x:c r="C1" s="10" t="str">
        <x:v>Cohort</x:v>
      </x:c>
      <x:c r="D1" s="10" t="str">
        <x:v>Session Date</x:v>
      </x:c>
      <x:c r="E1" s="10" t="str">
        <x:v>Facilitator</x:v>
      </x:c>
      <x:c r="F1" s="10" t="str">
        <x:v>Capacity</x:v>
      </x:c>
      <x:c r="G1" s="10" t="str">
        <x:v>Registered</x:v>
      </x:c>
      <x:c r="H1" s="10" t="str">
        <x:v>Attended</x:v>
      </x:c>
      <x:c r="I1" s="10" t="str">
        <x:v>Completed</x:v>
      </x:c>
      <x:c r="J1" s="10" t="str">
        <x:v>Attendance %</x:v>
      </x:c>
      <x:c r="K1" s="10" t="str">
        <x:v>Completion %</x:v>
      </x:c>
      <x:c r="L1" s="10" t="str">
        <x:v>Satisfaction</x:v>
      </x:c>
      <x:c r="M1" s="10" t="str">
        <x:v>Status</x:v>
      </x:c>
    </x:row>
    <x:row r="2">
      <x:c r="A2" s="16" t="str">
        <x:v>NA-01</x:v>
      </x:c>
      <x:c r="B2" s="16" t="str">
        <x:v>North America</x:v>
      </x:c>
      <x:c r="C2" s="16" t="str">
        <x:v>Cohort A</x:v>
      </x:c>
      <x:c r="D2" s="24" t="n">
        <x:v>46146</x:v>
      </x:c>
      <x:c r="E2" s="16" t="str">
        <x:v>Facilitator 1</x:v>
      </x:c>
      <x:c r="F2" s="16" t="n">
        <x:v>35</x:v>
      </x:c>
      <x:c r="G2" s="16" t="n">
        <x:v>33</x:v>
      </x:c>
      <x:c r="H2" s="16" t="n">
        <x:v>32</x:v>
      </x:c>
      <x:c r="I2" s="16" t="n">
        <x:v>31</x:v>
      </x:c>
      <x:c r="J2" s="17" t="n">
        <x:f>IFERROR(H2/G2,0)</x:f>
        <x:v>0.9696969696969697</x:v>
      </x:c>
      <x:c r="K2" s="17" t="n">
        <x:f>IFERROR(I2/H2,0)</x:f>
        <x:v>0.96875</x:v>
      </x:c>
      <x:c r="L2" s="16" t="n">
        <x:v>4.7</x:v>
      </x:c>
      <x:c r="M2" s="16" t="str">
        <x:v>Complete</x:v>
      </x:c>
    </x:row>
    <x:row r="3">
      <x:c r="A3" s="16" t="str">
        <x:v>NA-02</x:v>
      </x:c>
      <x:c r="B3" s="16" t="str">
        <x:v>North America</x:v>
      </x:c>
      <x:c r="C3" s="16" t="str">
        <x:v>Cohort B</x:v>
      </x:c>
      <x:c r="D3" s="24" t="n">
        <x:v>46148</x:v>
      </x:c>
      <x:c r="E3" s="16" t="str">
        <x:v>Facilitator 2</x:v>
      </x:c>
      <x:c r="F3" s="16" t="n">
        <x:v>35</x:v>
      </x:c>
      <x:c r="G3" s="16" t="n">
        <x:v>34</x:v>
      </x:c>
      <x:c r="H3" s="16" t="n">
        <x:v>33</x:v>
      </x:c>
      <x:c r="I3" s="16" t="n">
        <x:v>33</x:v>
      </x:c>
      <x:c r="J3" s="17" t="n">
        <x:f>IFERROR(H3/G3,0)</x:f>
        <x:v>0.9705882352941176</x:v>
      </x:c>
      <x:c r="K3" s="17" t="n">
        <x:f>IFERROR(I3/H3,0)</x:f>
        <x:v>1</x:v>
      </x:c>
      <x:c r="L3" s="16" t="n">
        <x:v>4.8</x:v>
      </x:c>
      <x:c r="M3" s="16" t="str">
        <x:v>Complete</x:v>
      </x:c>
    </x:row>
    <x:row r="4">
      <x:c r="A4" s="16" t="str">
        <x:v>NA-03</x:v>
      </x:c>
      <x:c r="B4" s="16" t="str">
        <x:v>North America</x:v>
      </x:c>
      <x:c r="C4" s="16" t="str">
        <x:v>Cohort C</x:v>
      </x:c>
      <x:c r="D4" s="24" t="n">
        <x:v>46150</x:v>
      </x:c>
      <x:c r="E4" s="16" t="str">
        <x:v>Facilitator 3</x:v>
      </x:c>
      <x:c r="F4" s="16" t="n">
        <x:v>35</x:v>
      </x:c>
      <x:c r="G4" s="16" t="n">
        <x:v>35</x:v>
      </x:c>
      <x:c r="H4" s="16" t="n">
        <x:v>34</x:v>
      </x:c>
      <x:c r="I4" s="16" t="n">
        <x:v>34</x:v>
      </x:c>
      <x:c r="J4" s="17" t="n">
        <x:f>IFERROR(H4/G4,0)</x:f>
        <x:v>0.9714285714285714</x:v>
      </x:c>
      <x:c r="K4" s="17" t="n">
        <x:f>IFERROR(I4/H4,0)</x:f>
        <x:v>1</x:v>
      </x:c>
      <x:c r="L4" s="16" t="n">
        <x:v>4.7</x:v>
      </x:c>
      <x:c r="M4" s="16" t="str">
        <x:v>Complete</x:v>
      </x:c>
    </x:row>
    <x:row r="5">
      <x:c r="A5" s="16" t="str">
        <x:v>EM-01</x:v>
      </x:c>
      <x:c r="B5" s="16" t="str">
        <x:v>EMEA</x:v>
      </x:c>
      <x:c r="C5" s="16" t="str">
        <x:v>Cohort A</x:v>
      </x:c>
      <x:c r="D5" s="24" t="n">
        <x:v>46153</x:v>
      </x:c>
      <x:c r="E5" s="16" t="str">
        <x:v>Facilitator 4</x:v>
      </x:c>
      <x:c r="F5" s="16" t="n">
        <x:v>35</x:v>
      </x:c>
      <x:c r="G5" s="16" t="n">
        <x:v>33</x:v>
      </x:c>
      <x:c r="H5" s="16" t="n">
        <x:v>32</x:v>
      </x:c>
      <x:c r="I5" s="16" t="n">
        <x:v>31</x:v>
      </x:c>
      <x:c r="J5" s="17" t="n">
        <x:f>IFERROR(H5/G5,0)</x:f>
        <x:v>0.9696969696969697</x:v>
      </x:c>
      <x:c r="K5" s="17" t="n">
        <x:f>IFERROR(I5/H5,0)</x:f>
        <x:v>0.96875</x:v>
      </x:c>
      <x:c r="L5" s="16" t="n">
        <x:v>4.6</x:v>
      </x:c>
      <x:c r="M5" s="16" t="str">
        <x:v>Complete</x:v>
      </x:c>
    </x:row>
    <x:row r="6">
      <x:c r="A6" s="16" t="str">
        <x:v>EM-02</x:v>
      </x:c>
      <x:c r="B6" s="16" t="str">
        <x:v>EMEA</x:v>
      </x:c>
      <x:c r="C6" s="16" t="str">
        <x:v>Cohort B</x:v>
      </x:c>
      <x:c r="D6" s="24" t="n">
        <x:v>46155</x:v>
      </x:c>
      <x:c r="E6" s="16" t="str">
        <x:v>Facilitator 5</x:v>
      </x:c>
      <x:c r="F6" s="16" t="n">
        <x:v>35</x:v>
      </x:c>
      <x:c r="G6" s="16" t="n">
        <x:v>34</x:v>
      </x:c>
      <x:c r="H6" s="16" t="n">
        <x:v>33</x:v>
      </x:c>
      <x:c r="I6" s="16" t="n">
        <x:v>32</x:v>
      </x:c>
      <x:c r="J6" s="17" t="n">
        <x:f>IFERROR(H6/G6,0)</x:f>
        <x:v>0.9705882352941176</x:v>
      </x:c>
      <x:c r="K6" s="17" t="n">
        <x:f>IFERROR(I6/H6,0)</x:f>
        <x:v>0.9696969696969697</x:v>
      </x:c>
      <x:c r="L6" s="16" t="n">
        <x:v>4.6</x:v>
      </x:c>
      <x:c r="M6" s="16" t="str">
        <x:v>Complete</x:v>
      </x:c>
    </x:row>
    <x:row r="7">
      <x:c r="A7" s="16" t="str">
        <x:v>AP-01</x:v>
      </x:c>
      <x:c r="B7" s="16" t="str">
        <x:v>APAC</x:v>
      </x:c>
      <x:c r="C7" s="16" t="str">
        <x:v>Cohort A</x:v>
      </x:c>
      <x:c r="D7" s="24" t="n">
        <x:v>46160</x:v>
      </x:c>
      <x:c r="E7" s="16" t="str">
        <x:v>Facilitator 6</x:v>
      </x:c>
      <x:c r="F7" s="16" t="n">
        <x:v>35</x:v>
      </x:c>
      <x:c r="G7" s="16" t="n">
        <x:v>32</x:v>
      </x:c>
      <x:c r="H7" s="16" t="n">
        <x:v>31</x:v>
      </x:c>
      <x:c r="I7" s="16" t="n">
        <x:v>30</x:v>
      </x:c>
      <x:c r="J7" s="17" t="n">
        <x:f>IFERROR(H7/G7,0)</x:f>
        <x:v>0.96875</x:v>
      </x:c>
      <x:c r="K7" s="17" t="n">
        <x:f>IFERROR(I7/H7,0)</x:f>
        <x:v>0.967741935483871</x:v>
      </x:c>
      <x:c r="L7" s="16" t="n">
        <x:v>4.6</x:v>
      </x:c>
      <x:c r="M7" s="16" t="str">
        <x:v>Complete</x:v>
      </x:c>
    </x:row>
    <x:row r="8">
      <x:c r="A8" s="16" t="str">
        <x:v>AP-02</x:v>
      </x:c>
      <x:c r="B8" s="16" t="str">
        <x:v>APAC</x:v>
      </x:c>
      <x:c r="C8" s="16" t="str">
        <x:v>Cohort B</x:v>
      </x:c>
      <x:c r="D8" s="24" t="n">
        <x:v>46162</x:v>
      </x:c>
      <x:c r="E8" s="16" t="str">
        <x:v>Facilitator 7</x:v>
      </x:c>
      <x:c r="F8" s="16" t="n">
        <x:v>35</x:v>
      </x:c>
      <x:c r="G8" s="16" t="n">
        <x:v>33</x:v>
      </x:c>
      <x:c r="H8" s="16" t="n">
        <x:v>32</x:v>
      </x:c>
      <x:c r="I8" s="16" t="n">
        <x:v>31</x:v>
      </x:c>
      <x:c r="J8" s="17" t="n">
        <x:f>IFERROR(H8/G8,0)</x:f>
        <x:v>0.9696969696969697</x:v>
      </x:c>
      <x:c r="K8" s="17" t="n">
        <x:f>IFERROR(I8/H8,0)</x:f>
        <x:v>0.96875</x:v>
      </x:c>
      <x:c r="L8" s="16" t="n">
        <x:v>4.5</x:v>
      </x:c>
      <x:c r="M8" s="16" t="str">
        <x:v>Complete</x:v>
      </x:c>
    </x:row>
    <x:row r="9">
      <x:c r="A9" s="16" t="str">
        <x:v>LA-01</x:v>
      </x:c>
      <x:c r="B9" s="16" t="str">
        <x:v>LATAM</x:v>
      </x:c>
      <x:c r="C9" s="16" t="str">
        <x:v>Cohort A</x:v>
      </x:c>
      <x:c r="D9" s="24" t="n">
        <x:v>46167</x:v>
      </x:c>
      <x:c r="E9" s="16" t="str">
        <x:v>Facilitator 8</x:v>
      </x:c>
      <x:c r="F9" s="16" t="n">
        <x:v>35</x:v>
      </x:c>
      <x:c r="G9" s="16" t="n">
        <x:v>32</x:v>
      </x:c>
      <x:c r="H9" s="16" t="n">
        <x:v>31</x:v>
      </x:c>
      <x:c r="I9" s="16" t="n">
        <x:v>30</x:v>
      </x:c>
      <x:c r="J9" s="17" t="n">
        <x:f>IFERROR(H9/G9,0)</x:f>
        <x:v>0.96875</x:v>
      </x:c>
      <x:c r="K9" s="17" t="n">
        <x:f>IFERROR(I9/H9,0)</x:f>
        <x:v>0.967741935483871</x:v>
      </x:c>
      <x:c r="L9" s="16" t="n">
        <x:v>4.5</x:v>
      </x:c>
      <x:c r="M9" s="16" t="str">
        <x:v>Complete</x:v>
      </x:c>
    </x:row>
    <x:row r="10">
      <x:c r="A10" s="16" t="str">
        <x:v>LA-02</x:v>
      </x:c>
      <x:c r="B10" s="16" t="str">
        <x:v>LATAM</x:v>
      </x:c>
      <x:c r="C10" s="16" t="str">
        <x:v>Cohort B</x:v>
      </x:c>
      <x:c r="D10" s="24" t="n">
        <x:v>46169</x:v>
      </x:c>
      <x:c r="E10" s="16" t="str">
        <x:v>Facilitator 9</x:v>
      </x:c>
      <x:c r="F10" s="16" t="n">
        <x:v>35</x:v>
      </x:c>
      <x:c r="G10" s="16" t="n">
        <x:v>33</x:v>
      </x:c>
      <x:c r="H10" s="16" t="n">
        <x:v>32</x:v>
      </x:c>
      <x:c r="I10" s="16" t="n">
        <x:v>31</x:v>
      </x:c>
      <x:c r="J10" s="17" t="n">
        <x:f>IFERROR(H10/G10,0)</x:f>
        <x:v>0.9696969696969697</x:v>
      </x:c>
      <x:c r="K10" s="17" t="n">
        <x:f>IFERROR(I10/H10,0)</x:f>
        <x:v>0.96875</x:v>
      </x:c>
      <x:c r="L10" s="16" t="n">
        <x:v>4.6</x:v>
      </x:c>
      <x:c r="M10" s="16" t="str">
        <x:v>Complete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36" hidden="0" customWidth="1"/>
    <x:col min="4" max="4" width="10" hidden="0" customWidth="1"/>
    <x:col min="5" max="5" width="12" hidden="0" customWidth="1"/>
    <x:col min="6" max="6" width="9" hidden="0" customWidth="1"/>
    <x:col min="7" max="7" width="20" hidden="0" customWidth="1"/>
    <x:col min="8" max="8" width="40" hidden="0" customWidth="1"/>
    <x:col min="9" max="9" width="13" hidden="0" customWidth="1"/>
    <x:col min="10" max="10" width="12" hidden="0" customWidth="1"/>
    <x:col min="11" max="11" width="12" hidden="0" customWidth="1"/>
    <x:col min="12" max="12" width="14" hidden="0" customWidth="1"/>
    <x:col min="13" max="13" width="12" hidden="0" customWidth="1"/>
  </x:cols>
  <x:sheetData>
    <x:row r="1">
      <x:c r="A1" s="10" t="str">
        <x:v>RAID ID</x:v>
      </x:c>
      <x:c r="B1" s="10" t="str">
        <x:v>Type</x:v>
      </x:c>
      <x:c r="C1" s="10" t="str">
        <x:v>Description</x:v>
      </x:c>
      <x:c r="D1" s="10" t="str">
        <x:v>Impact</x:v>
      </x:c>
      <x:c r="E1" s="10" t="str">
        <x:v>Probability</x:v>
      </x:c>
      <x:c r="F1" s="10" t="str">
        <x:v>Score</x:v>
      </x:c>
      <x:c r="G1" s="10" t="str">
        <x:v>Owner</x:v>
      </x:c>
      <x:c r="H1" s="10" t="str">
        <x:v>Response / Mitigation</x:v>
      </x:c>
      <x:c r="I1" s="10" t="str">
        <x:v>Target Date</x:v>
      </x:c>
      <x:c r="J1" s="10" t="str">
        <x:v>Status</x:v>
      </x:c>
      <x:c r="K1" s="10" t="str">
        <x:v>Escalation</x:v>
      </x:c>
      <x:c r="L1" s="10" t="str">
        <x:v>Days to Target</x:v>
      </x:c>
      <x:c r="M1" s="10" t="str">
        <x:v>Risk Level</x:v>
      </x:c>
    </x:row>
    <x:row r="2">
      <x:c r="A2" s="16" t="str">
        <x:v>R-01</x:v>
      </x:c>
      <x:c r="B2" s="16" t="str">
        <x:v>Risk</x:v>
      </x:c>
      <x:c r="C2" s="16" t="str">
        <x:v>Regional time-zone conflicts could reduce attendance</x:v>
      </x:c>
      <x:c r="D2" s="16" t="n">
        <x:v>4</x:v>
      </x:c>
      <x:c r="E2" s="16" t="n">
        <x:v>3</x:v>
      </x:c>
      <x:c r="F2" s="16" t="n">
        <x:f>D2*E2</x:f>
        <x:v>12</x:v>
      </x:c>
      <x:c r="G2" s="16" t="str">
        <x:v>Project Coordinator</x:v>
      </x:c>
      <x:c r="H2" s="16" t="str">
        <x:v>Publish multiple session windows and recordings</x:v>
      </x:c>
      <x:c r="I2" s="24" t="n">
        <x:v>46141</x:v>
      </x:c>
      <x:c r="J2" s="16" t="str">
        <x:v>Closed</x:v>
      </x:c>
      <x:c r="K2" s="16" t="str">
        <x:v>No</x:v>
      </x:c>
      <x:c r="L2" s="16" t="n">
        <x:f>IF(OR(J2="Closed",J2="Complete",J2="Validated"),0,I2-TODAY())</x:f>
        <x:v>0</x:v>
      </x:c>
      <x:c r="M2" s="16" t="str">
        <x:f>IF(F2&gt;=15,"Critical",IF(F2&gt;=10,"High",IF(F2&gt;=5,"Medium","Low")))</x:f>
        <x:v>High</x:v>
      </x:c>
    </x:row>
    <x:row r="3">
      <x:c r="A3" s="16" t="str">
        <x:v>R-02</x:v>
      </x:c>
      <x:c r="B3" s="16" t="str">
        <x:v>Risk</x:v>
      </x:c>
      <x:c r="C3" s="16" t="str">
        <x:v>Localization delays may affect EMEA/APAC launch dates</x:v>
      </x:c>
      <x:c r="D3" s="16" t="n">
        <x:v>5</x:v>
      </x:c>
      <x:c r="E3" s="16" t="n">
        <x:v>3</x:v>
      </x:c>
      <x:c r="F3" s="16" t="n">
        <x:f>D3*E3</x:f>
        <x:v>15</x:v>
      </x:c>
      <x:c r="G3" s="16" t="str">
        <x:v>Regional HR Leads</x:v>
      </x:c>
      <x:c r="H3" s="16" t="str">
        <x:v>Parallelize translation review and use priority content list</x:v>
      </x:c>
      <x:c r="I3" s="24" t="n">
        <x:v>46136</x:v>
      </x:c>
      <x:c r="J3" s="16" t="str">
        <x:v>Closed</x:v>
      </x:c>
      <x:c r="K3" s="16" t="str">
        <x:v>Yes</x:v>
      </x:c>
      <x:c r="L3" s="16" t="n">
        <x:f>IF(OR(J3="Closed",J3="Complete",J3="Validated"),0,I3-TODAY())</x:f>
        <x:v>0</x:v>
      </x:c>
      <x:c r="M3" s="16" t="str">
        <x:f>IF(F3&gt;=15,"Critical",IF(F3&gt;=10,"High",IF(F3&gt;=5,"Medium","Low")))</x:f>
        <x:v>Critical</x:v>
      </x:c>
    </x:row>
    <x:row r="4">
      <x:c r="A4" s="16" t="str">
        <x:v>R-03</x:v>
      </x:c>
      <x:c r="B4" s="16" t="str">
        <x:v>Risk</x:v>
      </x:c>
      <x:c r="C4" s="16" t="str">
        <x:v>Facilitator availability may create session gaps</x:v>
      </x:c>
      <x:c r="D4" s="16" t="n">
        <x:v>4</x:v>
      </x:c>
      <x:c r="E4" s="16" t="n">
        <x:v>3</x:v>
      </x:c>
      <x:c r="F4" s="16" t="n">
        <x:f>D4*E4</x:f>
        <x:v>12</x:v>
      </x:c>
      <x:c r="G4" s="16" t="str">
        <x:v>L&amp;D Lead</x:v>
      </x:c>
      <x:c r="H4" s="16" t="str">
        <x:v>Maintain trained backup facilitator pool</x:v>
      </x:c>
      <x:c r="I4" s="24" t="n">
        <x:v>46136</x:v>
      </x:c>
      <x:c r="J4" s="16" t="str">
        <x:v>Closed</x:v>
      </x:c>
      <x:c r="K4" s="16" t="str">
        <x:v>No</x:v>
      </x:c>
      <x:c r="L4" s="16" t="n">
        <x:f>IF(OR(J4="Closed",J4="Complete",J4="Validated"),0,I4-TODAY())</x:f>
        <x:v>0</x:v>
      </x:c>
      <x:c r="M4" s="16" t="str">
        <x:f>IF(F4&gt;=15,"Critical",IF(F4&gt;=10,"High",IF(F4&gt;=5,"Medium","Low")))</x:f>
        <x:v>High</x:v>
      </x:c>
    </x:row>
    <x:row r="5">
      <x:c r="A5" s="16" t="str">
        <x:v>I-01</x:v>
      </x:c>
      <x:c r="B5" s="16" t="str">
        <x:v>Issue</x:v>
      </x:c>
      <x:c r="C5" s="16" t="str">
        <x:v>LMS enrollment rules omitted a manager population</x:v>
      </x:c>
      <x:c r="D5" s="16" t="n">
        <x:v>5</x:v>
      </x:c>
      <x:c r="E5" s="16" t="n">
        <x:v>4</x:v>
      </x:c>
      <x:c r="F5" s="16" t="n">
        <x:f>D5*E5</x:f>
        <x:v>20</x:v>
      </x:c>
      <x:c r="G5" s="16" t="str">
        <x:v>LMS Administrator</x:v>
      </x:c>
      <x:c r="H5" s="16" t="str">
        <x:v>Correct rule logic and reconcile participant list</x:v>
      </x:c>
      <x:c r="I5" s="24" t="n">
        <x:v>46140</x:v>
      </x:c>
      <x:c r="J5" s="16" t="str">
        <x:v>Closed</x:v>
      </x:c>
      <x:c r="K5" s="16" t="str">
        <x:v>Yes</x:v>
      </x:c>
      <x:c r="L5" s="16" t="n">
        <x:f>IF(OR(J5="Closed",J5="Complete",J5="Validated"),0,I5-TODAY())</x:f>
        <x:v>0</x:v>
      </x:c>
      <x:c r="M5" s="16" t="str">
        <x:f>IF(F5&gt;=15,"Critical",IF(F5&gt;=10,"High",IF(F5&gt;=5,"Medium","Low")))</x:f>
        <x:v>Critical</x:v>
      </x:c>
    </x:row>
    <x:row r="6">
      <x:c r="A6" s="16" t="str">
        <x:v>D-01</x:v>
      </x:c>
      <x:c r="B6" s="16" t="str">
        <x:v>Dependency</x:v>
      </x:c>
      <x:c r="C6" s="16" t="str">
        <x:v>Regional HR sign-off required before participant communications</x:v>
      </x:c>
      <x:c r="D6" s="16" t="n">
        <x:v>4</x:v>
      </x:c>
      <x:c r="E6" s="16" t="n">
        <x:v>4</x:v>
      </x:c>
      <x:c r="F6" s="16" t="n">
        <x:f>D6*E6</x:f>
        <x:v>16</x:v>
      </x:c>
      <x:c r="G6" s="16" t="str">
        <x:v>Regional HR Leads</x:v>
      </x:c>
      <x:c r="H6" s="16" t="str">
        <x:v>Track approvals in weekly governance meeting</x:v>
      </x:c>
      <x:c r="I6" s="24" t="n">
        <x:v>46141</x:v>
      </x:c>
      <x:c r="J6" s="16" t="str">
        <x:v>Complete</x:v>
      </x:c>
      <x:c r="K6" s="16" t="str">
        <x:v>Yes</x:v>
      </x:c>
      <x:c r="L6" s="16" t="n">
        <x:f>IF(OR(J6="Closed",J6="Complete",J6="Validated"),0,I6-TODAY())</x:f>
        <x:v>0</x:v>
      </x:c>
      <x:c r="M6" s="16" t="str">
        <x:f>IF(F6&gt;=15,"Critical",IF(F6&gt;=10,"High",IF(F6&gt;=5,"Medium","Low")))</x:f>
        <x:v>Critical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2" hidden="0" customWidth="1"/>
    <x:col min="5" max="5" width="14" hidden="0" customWidth="1"/>
    <x:col min="6" max="6" width="32" hidden="0" customWidth="1"/>
    <x:col min="7" max="7" width="20" hidden="0" customWidth="1"/>
    <x:col min="8" max="8" width="12" hidden="0" customWidth="1"/>
    <x:col min="9" max="9" width="20" hidden="0" customWidth="1"/>
  </x:cols>
  <x:sheetData>
    <x:row r="1">
      <x:c r="A1" s="10" t="str">
        <x:v>Milestone</x:v>
      </x:c>
      <x:c r="B1" s="10" t="str">
        <x:v>Baseline Date</x:v>
      </x:c>
      <x:c r="C1" s="10" t="str">
        <x:v>Actual Date</x:v>
      </x:c>
      <x:c r="D1" s="10" t="str">
        <x:v>Status</x:v>
      </x:c>
      <x:c r="E1" s="10" t="str">
        <x:v>Days Variance</x:v>
      </x:c>
      <x:c r="F1" s="10" t="str">
        <x:v>Exit Criteria</x:v>
      </x:c>
      <x:c r="G1" s="10" t="str">
        <x:v>Owner</x:v>
      </x:c>
      <x:c r="H1" s="10" t="str">
        <x:v>On-Time?</x:v>
      </x:c>
      <x:c r="I1" s="10" t="str">
        <x:v>Schedule Performance</x:v>
      </x:c>
    </x:row>
    <x:row r="2">
      <x:c r="A2" s="16" t="str">
        <x:v>Program Charter Approved</x:v>
      </x:c>
      <x:c r="B2" s="24" t="n">
        <x:v>46120</x:v>
      </x:c>
      <x:c r="C2" s="24" t="n">
        <x:v>46120</x:v>
      </x:c>
      <x:c r="D2" s="16" t="str">
        <x:v>Complete</x:v>
      </x:c>
      <x:c r="E2" s="16" t="n">
        <x:f>IF(C2="","",C2-B2)</x:f>
        <x:v>0</x:v>
      </x:c>
      <x:c r="F2" s="16" t="str">
        <x:v>Sponsor approval</x:v>
      </x:c>
      <x:c r="G2" s="16" t="str">
        <x:v>Project Coordinator</x:v>
      </x:c>
      <x:c r="H2" s="16" t="str">
        <x:f>IF(C2="","Pending",IF(C2&lt;=B2,"Yes","No"))</x:f>
        <x:v>Yes</x:v>
      </x:c>
      <x:c r="I2" s="16" t="str">
        <x:f>IF(C2="","",IF(E2&lt;=0,"On/Ahead",IF(E2&lt;=2,"Minor Delay","Delayed")))</x:f>
        <x:v>On/Ahead</x:v>
      </x:c>
    </x:row>
    <x:row r="3">
      <x:c r="A3" s="16" t="str">
        <x:v>Curriculum Baseline</x:v>
      </x:c>
      <x:c r="B3" s="24" t="n">
        <x:v>46129</x:v>
      </x:c>
      <x:c r="C3" s="24" t="n">
        <x:v>46129</x:v>
      </x:c>
      <x:c r="D3" s="16" t="str">
        <x:v>Complete</x:v>
      </x:c>
      <x:c r="E3" s="16" t="n">
        <x:f>IF(C3="","",C3-B3)</x:f>
        <x:v>0</x:v>
      </x:c>
      <x:c r="F3" s="16" t="str">
        <x:v>Curriculum approved</x:v>
      </x:c>
      <x:c r="G3" s="16" t="str">
        <x:v>L&amp;D Lead</x:v>
      </x:c>
      <x:c r="H3" s="16" t="str">
        <x:f>IF(C3="","Pending",IF(C3&lt;=B3,"Yes","No"))</x:f>
        <x:v>Yes</x:v>
      </x:c>
      <x:c r="I3" s="16" t="str">
        <x:f>IF(C3="","",IF(E3&lt;=0,"On/Ahead",IF(E3&lt;=2,"Minor Delay","Delayed")))</x:f>
        <x:v>On/Ahead</x:v>
      </x:c>
    </x:row>
    <x:row r="4">
      <x:c r="A4" s="16" t="str">
        <x:v>Localization Complete</x:v>
      </x:c>
      <x:c r="B4" s="24" t="n">
        <x:v>46136</x:v>
      </x:c>
      <x:c r="C4" s="24" t="n">
        <x:v>46137</x:v>
      </x:c>
      <x:c r="D4" s="16" t="str">
        <x:v>Complete</x:v>
      </x:c>
      <x:c r="E4" s="16" t="n">
        <x:f>IF(C4="","",C4-B4)</x:f>
        <x:v>1</x:v>
      </x:c>
      <x:c r="F4" s="16" t="str">
        <x:v>Regional language review complete</x:v>
      </x:c>
      <x:c r="G4" s="16" t="str">
        <x:v>Regional HR Leads</x:v>
      </x:c>
      <x:c r="H4" s="16" t="str">
        <x:f>IF(C4="","Pending",IF(C4&lt;=B4,"Yes","No"))</x:f>
        <x:v>No</x:v>
      </x:c>
      <x:c r="I4" s="16" t="str">
        <x:f>IF(C4="","",IF(E4&lt;=0,"On/Ahead",IF(E4&lt;=2,"Minor Delay","Delayed")))</x:f>
        <x:v>Minor Delay</x:v>
      </x:c>
    </x:row>
    <x:row r="5">
      <x:c r="A5" s="16" t="str">
        <x:v>LMS &amp; Enrollment Ready</x:v>
      </x:c>
      <x:c r="B5" s="24" t="n">
        <x:v>46141</x:v>
      </x:c>
      <x:c r="C5" s="24" t="n">
        <x:v>46140</x:v>
      </x:c>
      <x:c r="D5" s="16" t="str">
        <x:v>Complete</x:v>
      </x:c>
      <x:c r="E5" s="16" t="n">
        <x:f>IF(C5="","",C5-B5)</x:f>
        <x:v>-1</x:v>
      </x:c>
      <x:c r="F5" s="16" t="str">
        <x:v>Enrollment validation passed</x:v>
      </x:c>
      <x:c r="G5" s="16" t="str">
        <x:v>LMS Administrator</x:v>
      </x:c>
      <x:c r="H5" s="16" t="str">
        <x:f>IF(C5="","Pending",IF(C5&lt;=B5,"Yes","No"))</x:f>
        <x:v>Yes</x:v>
      </x:c>
      <x:c r="I5" s="16" t="str">
        <x:f>IF(C5="","",IF(E5&lt;=0,"On/Ahead",IF(E5&lt;=2,"Minor Delay","Delayed")))</x:f>
        <x:v>On/Ahead</x:v>
      </x:c>
    </x:row>
    <x:row r="6">
      <x:c r="A6" s="16" t="str">
        <x:v>Regional Delivery Complete</x:v>
      </x:c>
      <x:c r="B6" s="24" t="n">
        <x:v>46178</x:v>
      </x:c>
      <x:c r="C6" s="24" t="n">
        <x:v>46178</x:v>
      </x:c>
      <x:c r="D6" s="16" t="str">
        <x:v>Complete</x:v>
      </x:c>
      <x:c r="E6" s="16" t="n">
        <x:f>IF(C6="","",C6-B6)</x:f>
        <x:v>0</x:v>
      </x:c>
      <x:c r="F6" s="16" t="str">
        <x:v>All cohorts delivered</x:v>
      </x:c>
      <x:c r="G6" s="16" t="str">
        <x:v>Project Coordinator</x:v>
      </x:c>
      <x:c r="H6" s="16" t="str">
        <x:f>IF(C6="","Pending",IF(C6&lt;=B6,"Yes","No"))</x:f>
        <x:v>Yes</x:v>
      </x:c>
      <x:c r="I6" s="16" t="str">
        <x:f>IF(C6="","",IF(E6&lt;=0,"On/Ahead",IF(E6&lt;=2,"Minor Delay","Delayed")))</x:f>
        <x:v>On/Ahead</x:v>
      </x:c>
    </x:row>
    <x:row r="7">
      <x:c r="A7" s="16" t="str">
        <x:v>Executive Closeout</x:v>
      </x:c>
      <x:c r="B7" s="24" t="n">
        <x:v>46185</x:v>
      </x:c>
      <x:c r="C7" s="24" t="n">
        <x:v>46185</x:v>
      </x:c>
      <x:c r="D7" s="16" t="str">
        <x:v>Complete</x:v>
      </x:c>
      <x:c r="E7" s="16" t="n">
        <x:f>IF(C7="","",C7-B7)</x:f>
        <x:v>0</x:v>
      </x:c>
      <x:c r="F7" s="16" t="str">
        <x:v>Final report accepted</x:v>
      </x:c>
      <x:c r="G7" s="16" t="str">
        <x:v>Project Coordinator</x:v>
      </x:c>
      <x:c r="H7" s="16" t="str">
        <x:f>IF(C7="","Pending",IF(C7&lt;=B7,"Yes","No"))</x:f>
        <x:v>Yes</x:v>
      </x:c>
      <x:c r="I7" s="16" t="str">
        <x:f>IF(C7="","",IF(E7&lt;=0,"On/Ahead",IF(E7&lt;=2,"Minor Delay","Delayed")))</x:f>
        <x:v>On/Ahead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4" hidden="0" customWidth="1"/>
    <x:col min="4" max="4" width="14" hidden="0" customWidth="1"/>
    <x:col min="5" max="5" width="13" hidden="0" customWidth="1"/>
    <x:col min="6" max="6" width="22" hidden="0" customWidth="1"/>
    <x:col min="7" max="7" width="34" hidden="0" customWidth="1"/>
  </x:cols>
  <x:sheetData>
    <x:row r="1">
      <x:c r="A1" s="10" t="str">
        <x:v>Category</x:v>
      </x:c>
      <x:c r="B1" s="10" t="str">
        <x:v>Baseline Budget</x:v>
      </x:c>
      <x:c r="C1" s="10" t="str">
        <x:v>Actual Cost</x:v>
      </x:c>
      <x:c r="D1" s="10" t="str">
        <x:v>Variance</x:v>
      </x:c>
      <x:c r="E1" s="10" t="str">
        <x:v>Variance %</x:v>
      </x:c>
      <x:c r="F1" s="10" t="str">
        <x:v>Forecast at Completion</x:v>
      </x:c>
      <x:c r="G1" s="10" t="str">
        <x:v>Notes</x:v>
      </x:c>
    </x:row>
    <x:row r="2">
      <x:c r="A2" s="16" t="str">
        <x:v>Curriculum Design</x:v>
      </x:c>
      <x:c r="B2" s="42" t="n">
        <x:v>28000</x:v>
      </x:c>
      <x:c r="C2" s="42" t="n">
        <x:v>27200</x:v>
      </x:c>
      <x:c r="D2" s="42" t="n">
        <x:f>B2-C2</x:f>
        <x:v>800</x:v>
      </x:c>
      <x:c r="E2" s="17" t="n">
        <x:f>IFERROR(D2/B2,0)</x:f>
        <x:v>0.02857142857142857</x:v>
      </x:c>
      <x:c r="F2" s="42" t="n">
        <x:f>C2</x:f>
        <x:v>27200</x:v>
      </x:c>
      <x:c r="G2" s="16" t="str">
        <x:v>Completed below baseline</x:v>
      </x:c>
    </x:row>
    <x:row r="3">
      <x:c r="A3" s="16" t="str">
        <x:v>Localization &amp; Translation</x:v>
      </x:c>
      <x:c r="B3" s="42" t="n">
        <x:v>22000</x:v>
      </x:c>
      <x:c r="C3" s="42" t="n">
        <x:v>23150</x:v>
      </x:c>
      <x:c r="D3" s="42" t="n">
        <x:f>B3-C3</x:f>
        <x:v>-1150</x:v>
      </x:c>
      <x:c r="E3" s="17" t="n">
        <x:f>IFERROR(D3/B3,0)</x:f>
        <x:v>-0.05227272727272727</x:v>
      </x:c>
      <x:c r="F3" s="42" t="n">
        <x:f>C3</x:f>
        <x:v>23150</x:v>
      </x:c>
      <x:c r="G3" s="16" t="str">
        <x:v>Additional review cycle in EMEA</x:v>
      </x:c>
    </x:row>
    <x:row r="4">
      <x:c r="A4" s="16" t="str">
        <x:v>LMS Configuration</x:v>
      </x:c>
      <x:c r="B4" s="42" t="n">
        <x:v>14000</x:v>
      </x:c>
      <x:c r="C4" s="42" t="n">
        <x:v>13750</x:v>
      </x:c>
      <x:c r="D4" s="42" t="n">
        <x:f>B4-C4</x:f>
        <x:v>250</x:v>
      </x:c>
      <x:c r="E4" s="17" t="n">
        <x:f>IFERROR(D4/B4,0)</x:f>
        <x:v>0.017857142857142856</x:v>
      </x:c>
      <x:c r="F4" s="42" t="n">
        <x:f>C4</x:f>
        <x:v>13750</x:v>
      </x:c>
      <x:c r="G4" s="16" t="str">
        <x:v>Within plan</x:v>
      </x:c>
    </x:row>
    <x:row r="5">
      <x:c r="A5" s="16" t="str">
        <x:v>Facilitation &amp; Delivery</x:v>
      </x:c>
      <x:c r="B5" s="42" t="n">
        <x:v>42000</x:v>
      </x:c>
      <x:c r="C5" s="42" t="n">
        <x:v>40800</x:v>
      </x:c>
      <x:c r="D5" s="42" t="n">
        <x:f>B5-C5</x:f>
        <x:v>1200</x:v>
      </x:c>
      <x:c r="E5" s="17" t="n">
        <x:f>IFERROR(D5/B5,0)</x:f>
        <x:v>0.02857142857142857</x:v>
      </x:c>
      <x:c r="F5" s="42" t="n">
        <x:f>C5</x:f>
        <x:v>40800</x:v>
      </x:c>
      <x:c r="G5" s="16" t="str">
        <x:v>Virtual delivery reduced travel cost</x:v>
      </x:c>
    </x:row>
    <x:row r="6">
      <x:c r="A6" s="16" t="str">
        <x:v>Communications &amp; Materials</x:v>
      </x:c>
      <x:c r="B6" s="42" t="n">
        <x:v>12000</x:v>
      </x:c>
      <x:c r="C6" s="42" t="n">
        <x:v>11600</x:v>
      </x:c>
      <x:c r="D6" s="42" t="n">
        <x:f>B6-C6</x:f>
        <x:v>400</x:v>
      </x:c>
      <x:c r="E6" s="17" t="n">
        <x:f>IFERROR(D6/B6,0)</x:f>
        <x:v>0.03333333333333333</x:v>
      </x:c>
      <x:c r="F6" s="42" t="n">
        <x:f>C6</x:f>
        <x:v>11600</x:v>
      </x:c>
      <x:c r="G6" s="16" t="str">
        <x:v>Digital materials reduced print cost</x:v>
      </x:c>
    </x:row>
    <x:row r="7">
      <x:c r="A7" s="16" t="str">
        <x:v>Evaluation &amp; Reporting</x:v>
      </x:c>
      <x:c r="B7" s="42" t="n">
        <x:v>10000</x:v>
      </x:c>
      <x:c r="C7" s="42" t="n">
        <x:v>9800</x:v>
      </x:c>
      <x:c r="D7" s="42" t="n">
        <x:f>B7-C7</x:f>
        <x:v>200</x:v>
      </x:c>
      <x:c r="E7" s="17" t="n">
        <x:f>IFERROR(D7/B7,0)</x:f>
        <x:v>0.02</x:v>
      </x:c>
      <x:c r="F7" s="42" t="n">
        <x:f>C7</x:f>
        <x:v>9800</x:v>
      </x:c>
      <x:c r="G7" s="16" t="str">
        <x:v>Within plan</x:v>
      </x:c>
    </x:row>
    <x:row r="8">
      <x:c r="A8" s="16"/>
      <x:c r="B8" s="42"/>
      <x:c r="C8" s="42"/>
      <x:c r="D8" s="42"/>
      <x:c r="E8" s="17"/>
      <x:c r="F8" s="42"/>
      <x:c r="G8" s="16"/>
    </x:row>
    <x:row r="9">
      <x:c r="A9" s="30" t="str">
        <x:v>Summary</x:v>
      </x:c>
      <x:c r="B9" s="37" t="str">
        <x:v>Baseline</x:v>
      </x:c>
      <x:c r="C9" s="37" t="str">
        <x:v>Actual / Forecast</x:v>
      </x:c>
      <x:c r="D9" s="37" t="str">
        <x:v>Variance</x:v>
      </x:c>
      <x:c r="E9" s="40" t="str">
        <x:v>Variance %</x:v>
      </x:c>
      <x:c r="F9" s="37" t="str">
        <x:v>Forecast</x:v>
      </x:c>
      <x:c r="G9" s="16"/>
    </x:row>
    <x:row r="10">
      <x:c r="A10" s="16" t="str">
        <x:v>Total</x:v>
      </x:c>
      <x:c r="B10" s="42" t="n">
        <x:f>SUM(B2:B7)</x:f>
        <x:v>128000</x:v>
      </x:c>
      <x:c r="C10" s="42" t="n">
        <x:f>SUM(C2:C7)</x:f>
        <x:v>126300</x:v>
      </x:c>
      <x:c r="D10" s="42" t="n">
        <x:f>B10-C10</x:f>
        <x:v>1700</x:v>
      </x:c>
      <x:c r="E10" s="17" t="n">
        <x:f>IFERROR(D10/B10,0)</x:f>
        <x:v>0.01328125</x:v>
      </x:c>
      <x:c r="F10" s="42" t="n">
        <x:f>SUM(F2:F7)</x:f>
        <x:v>126300</x:v>
      </x:c>
      <x:c r="G10" s="16"/>
    </x:row>
    <x:row r="11">
      <x:c r="A11" s="16" t="str">
        <x:v>Contingency</x:v>
      </x:c>
      <x:c r="B11" s="42" t="str">
        <x:v>10000</x:v>
      </x:c>
      <x:c r="C11" s="42" t="n">
        <x:f>10000+D10</x:f>
        <x:v>11700</x:v>
      </x:c>
      <x:c r="D11" s="42"/>
      <x:c r="E11" s="16"/>
      <x:c r="F11" s="16"/>
      <x:c r="G11" s="16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3" hidden="0" customWidth="1"/>
    <x:col min="4" max="4" width="13" hidden="0" customWidth="1"/>
    <x:col min="5" max="5" width="22" hidden="0" customWidth="1"/>
    <x:col min="6" max="6" width="14" hidden="0" customWidth="1"/>
    <x:col min="7" max="7" width="20" hidden="0" customWidth="1"/>
    <x:col min="8" max="8" width="34" hidden="0" customWidth="1"/>
  </x:cols>
  <x:sheetData>
    <x:row r="1">
      <x:c r="A1" s="10" t="str">
        <x:v>Deliverable / Activity</x:v>
      </x:c>
      <x:c r="B1" s="10" t="str">
        <x:v>Executive Sponsor</x:v>
      </x:c>
      <x:c r="C1" s="10" t="str">
        <x:v>Project Coordinator</x:v>
      </x:c>
      <x:c r="D1" s="10" t="str">
        <x:v>L&amp;D Lead</x:v>
      </x:c>
      <x:c r="E1" s="10" t="str">
        <x:v>Regional HR Leads</x:v>
      </x:c>
      <x:c r="F1" s="10" t="str">
        <x:v>LMS Admin</x:v>
      </x:c>
      <x:c r="G1" s="10" t="str">
        <x:v>HR Communications</x:v>
      </x:c>
      <x:c r="H1" s="10" t="str">
        <x:v>Facilitators</x:v>
      </x:c>
    </x:row>
    <x:row r="2">
      <x:c r="A2" s="16" t="str">
        <x:v>Program charter</x:v>
      </x:c>
      <x:c r="B2" s="16" t="str">
        <x:v>A</x:v>
      </x:c>
      <x:c r="C2" s="16" t="str">
        <x:v>R</x:v>
      </x:c>
      <x:c r="D2" s="16" t="str">
        <x:v>C</x:v>
      </x:c>
      <x:c r="E2" s="16" t="str">
        <x:v>C</x:v>
      </x:c>
      <x:c r="F2" s="16" t="str">
        <x:v>I</x:v>
      </x:c>
      <x:c r="G2" s="16" t="str">
        <x:v>I</x:v>
      </x:c>
      <x:c r="H2" s="16" t="str">
        <x:v>I</x:v>
      </x:c>
    </x:row>
    <x:row r="3">
      <x:c r="A3" s="16" t="str">
        <x:v>Curriculum design</x:v>
      </x:c>
      <x:c r="B3" s="16" t="str">
        <x:v>I</x:v>
      </x:c>
      <x:c r="C3" s="16" t="str">
        <x:v>C</x:v>
      </x:c>
      <x:c r="D3" s="16" t="str">
        <x:v>A/R</x:v>
      </x:c>
      <x:c r="E3" s="16" t="str">
        <x:v>C</x:v>
      </x:c>
      <x:c r="F3" s="16" t="str">
        <x:v>I</x:v>
      </x:c>
      <x:c r="G3" s="16" t="str">
        <x:v>I</x:v>
      </x:c>
      <x:c r="H3" s="16" t="str">
        <x:v>C</x:v>
      </x:c>
    </x:row>
    <x:row r="4">
      <x:c r="A4" s="16" t="str">
        <x:v>Localization</x:v>
      </x:c>
      <x:c r="B4" s="16" t="str">
        <x:v>I</x:v>
      </x:c>
      <x:c r="C4" s="16" t="str">
        <x:v>C</x:v>
      </x:c>
      <x:c r="D4" s="16" t="str">
        <x:v>C</x:v>
      </x:c>
      <x:c r="E4" s="16" t="str">
        <x:v>A/R</x:v>
      </x:c>
      <x:c r="F4" s="16" t="str">
        <x:v>I</x:v>
      </x:c>
      <x:c r="G4" s="16" t="str">
        <x:v>I</x:v>
      </x:c>
      <x:c r="H4" s="16" t="str">
        <x:v>C</x:v>
      </x:c>
    </x:row>
    <x:row r="5">
      <x:c r="A5" s="16" t="str">
        <x:v>LMS configuration</x:v>
      </x:c>
      <x:c r="B5" s="16" t="str">
        <x:v>I</x:v>
      </x:c>
      <x:c r="C5" s="16" t="str">
        <x:v>C</x:v>
      </x:c>
      <x:c r="D5" s="16" t="str">
        <x:v>C</x:v>
      </x:c>
      <x:c r="E5" s="16" t="str">
        <x:v>C</x:v>
      </x:c>
      <x:c r="F5" s="16" t="str">
        <x:v>A/R</x:v>
      </x:c>
      <x:c r="G5" s="16" t="str">
        <x:v>I</x:v>
      </x:c>
      <x:c r="H5" s="16" t="str">
        <x:v>I</x:v>
      </x:c>
    </x:row>
    <x:row r="6">
      <x:c r="A6" s="16" t="str">
        <x:v>Regional scheduling</x:v>
      </x:c>
      <x:c r="B6" s="16" t="str">
        <x:v>I</x:v>
      </x:c>
      <x:c r="C6" s="16" t="str">
        <x:v>A/R</x:v>
      </x:c>
      <x:c r="D6" s="16" t="str">
        <x:v>C</x:v>
      </x:c>
      <x:c r="E6" s="16" t="str">
        <x:v>R</x:v>
      </x:c>
      <x:c r="F6" s="16" t="str">
        <x:v>C</x:v>
      </x:c>
      <x:c r="G6" s="16" t="str">
        <x:v>I</x:v>
      </x:c>
      <x:c r="H6" s="16" t="str">
        <x:v>C</x:v>
      </x:c>
    </x:row>
    <x:row r="7">
      <x:c r="A7" s="16" t="str">
        <x:v>Participant communications</x:v>
      </x:c>
      <x:c r="B7" s="16" t="str">
        <x:v>I</x:v>
      </x:c>
      <x:c r="C7" s="16" t="str">
        <x:v>C</x:v>
      </x:c>
      <x:c r="D7" s="16" t="str">
        <x:v>C</x:v>
      </x:c>
      <x:c r="E7" s="16" t="str">
        <x:v>C</x:v>
      </x:c>
      <x:c r="F7" s="16" t="str">
        <x:v>I</x:v>
      </x:c>
      <x:c r="G7" s="16" t="str">
        <x:v>A/R</x:v>
      </x:c>
      <x:c r="H7" s="16" t="str">
        <x:v>I</x:v>
      </x:c>
    </x:row>
    <x:row r="8">
      <x:c r="A8" s="16" t="str">
        <x:v>Training delivery</x:v>
      </x:c>
      <x:c r="B8" s="16" t="str">
        <x:v>I</x:v>
      </x:c>
      <x:c r="C8" s="16" t="str">
        <x:v>C</x:v>
      </x:c>
      <x:c r="D8" s="16" t="str">
        <x:v>A</x:v>
      </x:c>
      <x:c r="E8" s="16" t="str">
        <x:v>R</x:v>
      </x:c>
      <x:c r="F8" s="16" t="str">
        <x:v>C</x:v>
      </x:c>
      <x:c r="G8" s="16" t="str">
        <x:v>I</x:v>
      </x:c>
      <x:c r="H8" s="16" t="str">
        <x:v>R</x:v>
      </x:c>
    </x:row>
    <x:row r="9">
      <x:c r="A9" s="16" t="str">
        <x:v>KPI reporting</x:v>
      </x:c>
      <x:c r="B9" s="16" t="str">
        <x:v>I</x:v>
      </x:c>
      <x:c r="C9" s="16" t="str">
        <x:v>A/R</x:v>
      </x:c>
      <x:c r="D9" s="16" t="str">
        <x:v>C</x:v>
      </x:c>
      <x:c r="E9" s="16" t="str">
        <x:v>C</x:v>
      </x:c>
      <x:c r="F9" s="16" t="str">
        <x:v>C</x:v>
      </x:c>
      <x:c r="G9" s="16" t="str">
        <x:v>I</x:v>
      </x:c>
      <x:c r="H9" s="16" t="str">
        <x:v>I</x:v>
      </x:c>
    </x:row>
    <x:row r="10">
      <x:c r="A10" s="16" t="str">
        <x:v>Closeout / lessons learned</x:v>
      </x:c>
      <x:c r="B10" s="16" t="str">
        <x:v>A</x:v>
      </x:c>
      <x:c r="C10" s="16" t="str">
        <x:v>R</x:v>
      </x:c>
      <x:c r="D10" s="16" t="str">
        <x:v>C</x:v>
      </x:c>
      <x:c r="E10" s="16" t="str">
        <x:v>C</x:v>
      </x:c>
      <x:c r="F10" s="16" t="str">
        <x:v>C</x:v>
      </x:c>
      <x:c r="G10" s="16" t="str">
        <x:v>C</x:v>
      </x:c>
      <x:c r="H10" s="16" t="str">
        <x:v>C</x:v>
      </x:c>
    </x:row>
    <x:row r="11">
      <x:c r="A11" s="16"/>
      <x:c r="B11" s="16"/>
      <x:c r="C11" s="16"/>
      <x:c r="D11" s="16"/>
      <x:c r="E11" s="16"/>
      <x:c r="F11" s="16"/>
      <x:c r="G11" s="16"/>
      <x:c r="H11" s="16"/>
    </x:row>
    <x:row r="12">
      <x:c r="A12" s="10" t="str">
        <x:v>Stakeholder</x:v>
      </x:c>
      <x:c r="B12" s="10" t="str">
        <x:v>Role</x:v>
      </x:c>
      <x:c r="C12" s="10" t="str">
        <x:v>Influence</x:v>
      </x:c>
      <x:c r="D12" s="10" t="str">
        <x:v>Interest</x:v>
      </x:c>
      <x:c r="E12" s="10" t="str">
        <x:v>Communication</x:v>
      </x:c>
      <x:c r="F12" s="10" t="str">
        <x:v>Cadence</x:v>
      </x:c>
      <x:c r="G12" s="10" t="str">
        <x:v>Owner</x:v>
      </x:c>
      <x:c r="H12" s="10" t="str">
        <x:v>Key Need</x:v>
      </x:c>
    </x:row>
    <x:row r="13">
      <x:c r="A13" s="16" t="str">
        <x:v>Executive Sponsor</x:v>
      </x:c>
      <x:c r="B13" s="16" t="str">
        <x:v>Program sponsor</x:v>
      </x:c>
      <x:c r="C13" s="16" t="str">
        <x:v>High</x:v>
      </x:c>
      <x:c r="D13" s="16" t="str">
        <x:v>High</x:v>
      </x:c>
      <x:c r="E13" s="16" t="str">
        <x:v>Executive update</x:v>
      </x:c>
      <x:c r="F13" s="16" t="str">
        <x:v>Biweekly</x:v>
      </x:c>
      <x:c r="G13" s="16" t="str">
        <x:v>Project Coordinator</x:v>
      </x:c>
      <x:c r="H13" s="16" t="str">
        <x:v>Progress, risks, budget</x:v>
      </x:c>
    </x:row>
    <x:row r="14">
      <x:c r="A14" s="16" t="str">
        <x:v>L&amp;D Leadership</x:v>
      </x:c>
      <x:c r="B14" s="16" t="str">
        <x:v>Program owner</x:v>
      </x:c>
      <x:c r="C14" s="16" t="str">
        <x:v>High</x:v>
      </x:c>
      <x:c r="D14" s="16" t="str">
        <x:v>High</x:v>
      </x:c>
      <x:c r="E14" s="16" t="str">
        <x:v>Working session</x:v>
      </x:c>
      <x:c r="F14" s="16" t="str">
        <x:v>Weekly</x:v>
      </x:c>
      <x:c r="G14" s="16" t="str">
        <x:v>Project Coordinator</x:v>
      </x:c>
      <x:c r="H14" s="16" t="str">
        <x:v>Curriculum and delivery readiness</x:v>
      </x:c>
    </x:row>
    <x:row r="15">
      <x:c r="A15" s="16" t="str">
        <x:v>Regional HR Leads</x:v>
      </x:c>
      <x:c r="B15" s="16" t="str">
        <x:v>Regional execution</x:v>
      </x:c>
      <x:c r="C15" s="16" t="str">
        <x:v>High</x:v>
      </x:c>
      <x:c r="D15" s="16" t="str">
        <x:v>High</x:v>
      </x:c>
      <x:c r="E15" s="16" t="str">
        <x:v>Regional sync</x:v>
      </x:c>
      <x:c r="F15" s="16" t="str">
        <x:v>Weekly</x:v>
      </x:c>
      <x:c r="G15" s="16" t="str">
        <x:v>Project Coordinator</x:v>
      </x:c>
      <x:c r="H15" s="16" t="str">
        <x:v>Schedule, localization, attendance</x:v>
      </x:c>
    </x:row>
    <x:row r="16">
      <x:c r="A16" s="16" t="str">
        <x:v>People Managers</x:v>
      </x:c>
      <x:c r="B16" s="16" t="str">
        <x:v>Participant support</x:v>
      </x:c>
      <x:c r="C16" s="16" t="str">
        <x:v>Medium</x:v>
      </x:c>
      <x:c r="D16" s="16" t="str">
        <x:v>High</x:v>
      </x:c>
      <x:c r="E16" s="16" t="str">
        <x:v>Manager toolkit</x:v>
      </x:c>
      <x:c r="F16" s="16" t="str">
        <x:v>Before cohorts</x:v>
      </x:c>
      <x:c r="G16" s="16" t="str">
        <x:v>HR Communications</x:v>
      </x:c>
      <x:c r="H16" s="16" t="str">
        <x:v>Expectations and reinforcement</x:v>
      </x:c>
    </x:row>
    <x:row r="17">
      <x:c r="A17" s="16" t="str">
        <x:v>Participants</x:v>
      </x:c>
      <x:c r="B17" s="16" t="str">
        <x:v>Learners</x:v>
      </x:c>
      <x:c r="C17" s="16" t="str">
        <x:v>Low</x:v>
      </x:c>
      <x:c r="D17" s="16" t="str">
        <x:v>High</x:v>
      </x:c>
      <x:c r="E17" s="16" t="str">
        <x:v>Email / LMS</x:v>
      </x:c>
      <x:c r="F17" s="16" t="str">
        <x:v>Per cohort</x:v>
      </x:c>
      <x:c r="G17" s="16" t="str">
        <x:v>HR Communications</x:v>
      </x:c>
      <x:c r="H17" s="16" t="str">
        <x:v>Schedule, access, completion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32" hidden="0" customWidth="1"/>
    <x:col min="4" max="4" width="38" hidden="0" customWidth="1"/>
    <x:col min="5" max="5" width="12" hidden="0" customWidth="1"/>
    <x:col min="6" max="6" width="14" hidden="0" customWidth="1"/>
    <x:col min="7" max="7" width="20" hidden="0" customWidth="1"/>
    <x:col min="8" max="8" width="14" hidden="0" customWidth="1"/>
  </x:cols>
  <x:sheetData>
    <x:row r="1">
      <x:c r="A1" s="10" t="str">
        <x:v>Change ID</x:v>
      </x:c>
      <x:c r="B1" s="10" t="str">
        <x:v>Request</x:v>
      </x:c>
      <x:c r="C1" s="10" t="str">
        <x:v>Reason</x:v>
      </x:c>
      <x:c r="D1" s="10" t="str">
        <x:v>Impact</x:v>
      </x:c>
      <x:c r="E1" s="10" t="str">
        <x:v>Decision</x:v>
      </x:c>
      <x:c r="F1" s="10" t="str">
        <x:v>Decision Date</x:v>
      </x:c>
      <x:c r="G1" s="10" t="str">
        <x:v>Owner</x:v>
      </x:c>
      <x:c r="H1" s="10" t="str">
        <x:v>Status</x:v>
      </x:c>
    </x:row>
    <x:row r="2">
      <x:c r="A2" s="16" t="str">
        <x:v>CR-01</x:v>
      </x:c>
      <x:c r="B2" s="16" t="str">
        <x:v>Add a second EMEA time slot</x:v>
      </x:c>
      <x:c r="C2" s="16" t="str">
        <x:v>Improve attendance across time zones</x:v>
      </x:c>
      <x:c r="D2" s="16" t="str">
        <x:v>+$1,150 localization/facilitation; no launch date impact</x:v>
      </x:c>
      <x:c r="E2" s="16" t="str">
        <x:v>Approved</x:v>
      </x:c>
      <x:c r="F2" s="24" t="n">
        <x:v>46132</x:v>
      </x:c>
      <x:c r="G2" s="16" t="str">
        <x:v>Project Coordinator</x:v>
      </x:c>
      <x:c r="H2" s="16" t="str">
        <x:v>Implemented</x:v>
      </x:c>
    </x:row>
    <x:row r="3">
      <x:c r="A3" s="16" t="str">
        <x:v>CR-02</x:v>
      </x:c>
      <x:c r="B3" s="16" t="str">
        <x:v>Extend recordings from 14 to 30 days</x:v>
      </x:c>
      <x:c r="C3" s="16" t="str">
        <x:v>Support participants with schedule conflicts</x:v>
      </x:c>
      <x:c r="D3" s="16" t="str">
        <x:v>No material cost; improves accessibility</x:v>
      </x:c>
      <x:c r="E3" s="16" t="str">
        <x:v>Approved</x:v>
      </x:c>
      <x:c r="F3" s="24" t="n">
        <x:v>46139</x:v>
      </x:c>
      <x:c r="G3" s="16" t="str">
        <x:v>L&amp;D Lead</x:v>
      </x:c>
      <x:c r="H3" s="16" t="str">
        <x:v>Implemented</x:v>
      </x:c>
    </x:row>
    <x:row r="4">
      <x:c r="A4" s="16" t="str">
        <x:v>CR-03</x:v>
      </x:c>
      <x:c r="B4" s="16" t="str">
        <x:v>Add manager reinforcement guide</x:v>
      </x:c>
      <x:c r="C4" s="16" t="str">
        <x:v>Improve transfer of learning</x:v>
      </x:c>
      <x:c r="D4" s="16" t="str">
        <x:v>Minor communications effort; no schedule impact</x:v>
      </x:c>
      <x:c r="E4" s="16" t="str">
        <x:v>Approved</x:v>
      </x:c>
      <x:c r="F4" s="24" t="n">
        <x:v>46143</x:v>
      </x:c>
      <x:c r="G4" s="16" t="str">
        <x:v>HR Communications</x:v>
      </x:c>
      <x:c r="H4" s="16" t="str">
        <x:v>Implemented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4" hidden="0" customWidth="1"/>
    <x:col min="4" max="4" width="22" hidden="0" customWidth="1"/>
    <x:col min="5" max="5" width="18" hidden="0" customWidth="1"/>
    <x:col min="6" max="6" width="4" hidden="0" customWidth="1"/>
    <x:col min="7" max="7" width="10" hidden="0" customWidth="1"/>
    <x:col min="8" max="8" width="10" hidden="0" customWidth="1"/>
    <x:col min="9" max="9" width="10" hidden="0" customWidth="1"/>
  </x:cols>
  <x:sheetData>
    <x:row r="1" ht="30" customHeight="1">
      <x:c r="A1" s="47" t="str">
        <x:v>Global Leadership Training Rollout | Executive Dashboard</x:v>
      </x:c>
      <x:c r="B1" s="47"/>
      <x:c r="C1" s="47"/>
      <x:c r="D1" s="47"/>
      <x:c r="E1" s="47"/>
      <x:c r="F1" s="47"/>
      <x:c r="G1" s="47"/>
      <x:c r="H1" s="47"/>
      <x:c r="I1" s="47"/>
    </x:row>
    <x:row r="2">
      <x:c r="K2" t="str">
        <x:v>Region</x:v>
      </x:c>
      <x:c r="L2" t="str">
        <x:v>Completion %</x:v>
      </x:c>
      <x:c r="N2" t="str">
        <x:v>Week</x:v>
      </x:c>
      <x:c r="O2" t="str">
        <x:v>Completed</x:v>
      </x:c>
      <x:c r="Q2" t="str">
        <x:v>Week</x:v>
      </x:c>
      <x:c r="R2" t="str">
        <x:v>Satisfaction</x:v>
      </x:c>
    </x:row>
    <x:row r="3">
      <x:c r="K3" t="str">
        <x:v>North America</x:v>
      </x:c>
      <x:c r="L3" s="2" t="n">
        <x:f>'Regional Rollout'!G2</x:f>
        <x:v>0.9853801169590644</x:v>
      </x:c>
      <x:c r="N3" t="str">
        <x:v>Week 1</x:v>
      </x:c>
      <x:c r="O3" t="n">
        <x:v>145</x:v>
      </x:c>
      <x:c r="Q3" t="str">
        <x:v>Week 1</x:v>
      </x:c>
      <x:c r="R3" t="n">
        <x:v>4.3</x:v>
      </x:c>
    </x:row>
    <x:row r="4">
      <x:c r="A4" s="10" t="str">
        <x:v>Program KPI</x:v>
      </x:c>
      <x:c r="B4" s="10" t="str">
        <x:v>Value</x:v>
      </x:c>
      <x:c r="D4" s="10" t="str">
        <x:v>Delivery Health</x:v>
      </x:c>
      <x:c r="E4" s="10" t="str">
        <x:v>Value</x:v>
      </x:c>
      <x:c r="K4" t="str">
        <x:v>EMEA</x:v>
      </x:c>
      <x:c r="L4" s="2" t="n">
        <x:f>'Regional Rollout'!G3</x:f>
        <x:v>0.9741100323624595</x:v>
      </x:c>
      <x:c r="N4" t="str">
        <x:v>Week 2</x:v>
      </x:c>
      <x:c r="O4" t="n">
        <x:v>188</x:v>
      </x:c>
      <x:c r="Q4" t="str">
        <x:v>Week 2</x:v>
      </x:c>
      <x:c r="R4" t="n">
        <x:v>4.4</x:v>
      </x:c>
    </x:row>
    <x:row r="5">
      <x:c r="A5" t="str">
        <x:v>Overall Status</x:v>
      </x:c>
      <x:c r="B5" t="str">
        <x:f>IF(AND(B9&gt;=0.95,E5=0,E9=1),"Green","Attention")</x:f>
        <x:v>Green</x:v>
      </x:c>
      <x:c r="D5" t="str">
        <x:v>Open Risks / Issues</x:v>
      </x:c>
      <x:c r="E5" t="n">
        <x:f>COUNTIFS('RAID Log'!B2:B6,"Risk",'RAID Log'!J2:J6,"&lt;&gt;Closed")+COUNTIFS('RAID Log'!B2:B6,"Issue",'RAID Log'!J2:J6,"&lt;&gt;Closed")</x:f>
        <x:v>0</x:v>
      </x:c>
      <x:c r="K5" t="str">
        <x:v>APAC</x:v>
      </x:c>
      <x:c r="L5" s="2" t="n">
        <x:f>'Regional Rollout'!G4</x:f>
        <x:v>0.9712230215827338</x:v>
      </x:c>
      <x:c r="N5" t="str">
        <x:v>Week 3</x:v>
      </x:c>
      <x:c r="O5" t="n">
        <x:v>218</x:v>
      </x:c>
      <x:c r="Q5" t="str">
        <x:v>Week 3</x:v>
      </x:c>
      <x:c r="R5" t="n">
        <x:v>4.5</x:v>
      </x:c>
    </x:row>
    <x:row r="6">
      <x:c r="A6" t="str">
        <x:v>Total Target Leaders</x:v>
      </x:c>
      <x:c r="B6" t="n">
        <x:f>SUM('Regional Rollout'!B2:B5)</x:f>
        <x:v>1240</x:v>
      </x:c>
      <x:c r="D6" t="str">
        <x:v>Open Critical RAID Items</x:v>
      </x:c>
      <x:c r="E6" t="n">
        <x:f>COUNTIFS('RAID Log'!M2:M6,"Critical",'RAID Log'!J2:J6,"&lt;&gt;Closed",'RAID Log'!J2:J6,"&lt;&gt;Complete",'RAID Log'!J2:J6,"&lt;&gt;Validated")</x:f>
        <x:v>0</x:v>
      </x:c>
      <x:c r="K6" t="str">
        <x:v>LATAM</x:v>
      </x:c>
      <x:c r="L6" s="2" t="n">
        <x:f>'Regional Rollout'!G5</x:f>
        <x:v>0.9696969696969697</x:v>
      </x:c>
      <x:c r="N6" t="str">
        <x:v>Week 4</x:v>
      </x:c>
      <x:c r="O6" t="n">
        <x:v>246</x:v>
      </x:c>
      <x:c r="Q6" t="str">
        <x:v>Week 4</x:v>
      </x:c>
      <x:c r="R6" t="n">
        <x:v>4.6</x:v>
      </x:c>
    </x:row>
    <x:row r="7">
      <x:c r="A7" t="str">
        <x:v>Total Completed</x:v>
      </x:c>
      <x:c r="B7" t="n">
        <x:f>SUM('Regional Rollout'!E2:E5)</x:f>
        <x:v>1132</x:v>
      </x:c>
      <x:c r="D7" t="str">
        <x:v>Sessions Delivered</x:v>
      </x:c>
      <x:c r="E7" t="n">
        <x:f>SUM('Regional Rollout'!J2:J5)</x:f>
        <x:v>45</x:v>
      </x:c>
      <x:c r="N7" t="str">
        <x:v>Week 5</x:v>
      </x:c>
      <x:c r="O7" t="n">
        <x:v>278</x:v>
      </x:c>
      <x:c r="Q7" t="str">
        <x:v>Week 5</x:v>
      </x:c>
      <x:c r="R7" t="n">
        <x:v>4.6</x:v>
      </x:c>
    </x:row>
    <x:row r="8">
      <x:c r="A8" t="str">
        <x:v>Overall Attendance</x:v>
      </x:c>
      <x:c r="B8" s="2" t="n">
        <x:f>IFERROR(SUM('Regional Rollout'!D2:D5)/SUM('Regional Rollout'!C2:C5),0)</x:f>
        <x:v>0.9658617818484596</x:v>
      </x:c>
      <x:c r="D8" t="str">
        <x:v>Budget Variance</x:v>
      </x:c>
      <x:c r="E8" s="2" t="n">
        <x:f>IFERROR((Budget!B10-Budget!C10)/Budget!B10,0)</x:f>
        <x:v>0.01328125</x:v>
      </x:c>
      <x:c r="N8" t="str">
        <x:v>Week 6</x:v>
      </x:c>
      <x:c r="O8" t="n">
        <x:v>307</x:v>
      </x:c>
      <x:c r="Q8" t="str">
        <x:v>Week 6</x:v>
      </x:c>
      <x:c r="R8" t="n">
        <x:v>4.7</x:v>
      </x:c>
    </x:row>
    <x:row r="9">
      <x:c r="A9" t="str">
        <x:v>Overall Completion</x:v>
      </x:c>
      <x:c r="B9" s="2" t="n">
        <x:f>IFERROR(SUM('Regional Rollout'!E2:E5)/SUM('Regional Rollout'!D2:D5),0)</x:f>
        <x:v>0.9758620689655172</x:v>
      </x:c>
      <x:c r="D9" t="str">
        <x:v>Milestone Completion</x:v>
      </x:c>
      <x:c r="E9" s="2" t="n">
        <x:f>IFERROR(COUNTIF(Milestones!D2:D7,"Complete")/COUNTA(Milestones!A2:A7),0)</x:f>
        <x:v>1</x:v>
      </x:c>
    </x:row>
    <x:row r="10">
      <x:c r="A10" t="str">
        <x:v>Avg Satisfaction</x:v>
      </x:c>
      <x:c r="B10" s="4" t="n">
        <x:f>AVERAGE('Regional Rollout'!H2:H5)</x:f>
        <x:v>4.6</x:v>
      </x:c>
      <x:c r="D10" t="str">
        <x:v>Final Closeout Date</x:v>
      </x:c>
      <x:c r="E10" s="22" t="n">
        <x:f>MAX(Milestones!C2:C7)</x:f>
        <x:v>46185</x:v>
      </x:c>
    </x:row>
    <x:row r="12">
      <x:c r="A12" s="30" t="str">
        <x:v>Executive Summary</x:v>
      </x:c>
      <x:c r="B12" s="30"/>
      <x:c r="C12" s="30"/>
      <x:c r="D12" s="30"/>
      <x:c r="E12" s="30"/>
      <x:c r="F12" s="30"/>
      <x:c r="G12" s="30"/>
      <x:c r="H12" s="30"/>
      <x:c r="I12" s="30"/>
    </x:row>
    <x:row r="13">
      <x:c r="A13" s="54" t="str">
        <x:v>Scope</x:v>
      </x:c>
      <x:c r="B13" s="16" t="str">
        <x:v>Global leadership development rollout across North America, EMEA, APAC, and LATAM.</x:v>
      </x:c>
      <x:c r="C13" s="16"/>
      <x:c r="D13" s="16"/>
      <x:c r="E13" s="16"/>
      <x:c r="F13" s="16"/>
      <x:c r="G13" s="16"/>
      <x:c r="H13" s="16"/>
      <x:c r="I13" s="16"/>
    </x:row>
    <x:row r="14">
      <x:c r="A14" s="54" t="str">
        <x:v>Delivery</x:v>
      </x:c>
      <x:c r="B14" s="16" t="str">
        <x:v>45 regional sessions delivered with localized content and facilitator coverage.</x:v>
      </x:c>
      <x:c r="C14" s="16"/>
      <x:c r="D14" s="16"/>
      <x:c r="E14" s="16"/>
      <x:c r="F14" s="16"/>
      <x:c r="G14" s="16"/>
      <x:c r="H14" s="16"/>
      <x:c r="I14" s="16"/>
    </x:row>
    <x:row r="15">
      <x:c r="A15" s="54" t="str">
        <x:v>Participation</x:v>
      </x:c>
      <x:c r="B15" s="16" t="str">
        <x:v>1,132 of 1,240 targeted leaders completed the program in the simulated rollout.</x:v>
      </x:c>
      <x:c r="C15" s="16"/>
      <x:c r="D15" s="16"/>
      <x:c r="E15" s="16"/>
      <x:c r="F15" s="16"/>
      <x:c r="G15" s="16"/>
      <x:c r="H15" s="16"/>
      <x:c r="I15" s="16"/>
    </x:row>
    <x:row r="16">
      <x:c r="A16" s="54" t="str">
        <x:v>Quality</x:v>
      </x:c>
      <x:c r="B16" s="16" t="str">
        <x:v>Average participant satisfaction reached 4.6/5 with no open launch-blocking issues at closeout.</x:v>
      </x:c>
      <x:c r="C16" s="16"/>
      <x:c r="D16" s="16"/>
      <x:c r="E16" s="16"/>
      <x:c r="F16" s="16"/>
      <x:c r="G16" s="16"/>
      <x:c r="H16" s="16"/>
      <x:c r="I16" s="16"/>
    </x:row>
    <x:row r="17">
      <x:c r="A17" s="54" t="str">
        <x:v>Schedule</x:v>
      </x:c>
      <x:c r="B17" s="16" t="str">
        <x:v>Program closeout completed on the baseline date; one localization milestone finished one day late.</x:v>
      </x:c>
      <x:c r="C17" s="16"/>
      <x:c r="D17" s="16"/>
      <x:c r="E17" s="16"/>
      <x:c r="F17" s="16"/>
      <x:c r="G17" s="16"/>
      <x:c r="H17" s="16"/>
      <x:c r="I17" s="16"/>
    </x:row>
    <x:row r="18">
      <x:c r="A18" s="54" t="str">
        <x:v>Budget</x:v>
      </x:c>
      <x:c r="B18" s="16" t="str">
        <x:v>Final actual cost remained below the $128,000 baseline budget.</x:v>
      </x:c>
      <x:c r="C18" s="16"/>
      <x:c r="D18" s="16"/>
      <x:c r="E18" s="16"/>
      <x:c r="F18" s="16"/>
      <x:c r="G18" s="16"/>
      <x:c r="H18" s="16"/>
      <x:c r="I18" s="16"/>
    </x:row>
    <x:row r="54">
      <x:c r="A54" s="30" t="str">
        <x:v>Dashboard Notes</x:v>
      </x:c>
      <x:c r="B54" s="30"/>
      <x:c r="C54" s="30"/>
      <x:c r="D54" s="30"/>
      <x:c r="E54" s="30"/>
      <x:c r="F54" s="30"/>
      <x:c r="G54" s="30"/>
      <x:c r="H54" s="30"/>
      <x:c r="I54" s="30"/>
    </x:row>
    <x:row r="55">
      <x:c r="A55" s="56" t="str">
        <x:v>This dashboard is built directly in Excel. KPI cards are formula-driven from Regional Rollout, RAID Log, Milestones, Budget, Weekly Metrics, and Task Tracker sheets. Native Excel charts update when underlying project data changes.</x:v>
      </x:c>
      <x:c r="B55" s="56"/>
      <x:c r="C55" s="56"/>
      <x:c r="D55" s="56"/>
      <x:c r="E55" s="56"/>
      <x:c r="F55" s="56"/>
      <x:c r="G55" s="56"/>
      <x:c r="H55" s="56"/>
      <x:c r="I55" s="56"/>
    </x:row>
    <x:row r="56">
      <x:c r="A56" s="56"/>
      <x:c r="B56" s="56"/>
      <x:c r="C56" s="56"/>
      <x:c r="D56" s="56"/>
      <x:c r="E56" s="56"/>
      <x:c r="F56" s="56"/>
      <x:c r="G56" s="56"/>
      <x:c r="H56" s="56"/>
      <x:c r="I56" s="56"/>
    </x:row>
    <x:row r="57">
      <x:c r="A57" s="56"/>
      <x:c r="B57" s="56"/>
      <x:c r="C57" s="56"/>
      <x:c r="D57" s="56"/>
      <x:c r="E57" s="56"/>
      <x:c r="F57" s="56"/>
      <x:c r="G57" s="56"/>
      <x:c r="H57" s="56"/>
      <x:c r="I57" s="56"/>
    </x:row>
    <x:row r="58">
      <x:c r="A58" s="56"/>
      <x:c r="B58" s="56"/>
      <x:c r="C58" s="56"/>
      <x:c r="D58" s="56"/>
      <x:c r="E58" s="56"/>
      <x:c r="F58" s="56"/>
      <x:c r="G58" s="56"/>
      <x:c r="H58" s="56"/>
      <x:c r="I58" s="56"/>
    </x:row>
    <x:row r="60">
      <x:c r="A60" s="61" t="str">
        <x:v>Project Controls Demonstrated</x:v>
      </x:c>
      <x:c r="B60" s="61"/>
      <x:c r="C60" s="61"/>
      <x:c r="D60" s="61"/>
      <x:c r="E60" s="61"/>
      <x:c r="F60" s="61"/>
      <x:c r="G60" s="61"/>
      <x:c r="H60" s="61"/>
      <x:c r="I60" s="61"/>
    </x:row>
    <x:row r="61" ht="34" customHeight="1">
      <x:c r="A61" s="69" t="str">
        <x:v>Planning &amp; Controls</x:v>
      </x:c>
      <x:c r="B61" s="69"/>
      <x:c r="C61" s="69"/>
      <x:c r="D61" s="69" t="str">
        <x:v>Delivery &amp; Governance</x:v>
      </x:c>
      <x:c r="E61" s="69"/>
      <x:c r="F61" s="69"/>
      <x:c r="G61" s="69" t="str">
        <x:v>Analytics &amp; Reporting</x:v>
      </x:c>
      <x:c r="H61" s="69"/>
      <x:c r="I61" s="69"/>
    </x:row>
    <x:row r="62" ht="32" customHeight="1">
      <x:c r="A62" s="56" t="str">
        <x:v>Schedule baseline vs. actual
Milestone variance
Budget &amp; contingency
Task health and dependencies</x:v>
      </x:c>
      <x:c r="B62" s="56"/>
      <x:c r="C62" s="56"/>
      <x:c r="D62" s="56" t="str">
        <x:v>RAID scoring &amp; mitigation
RACI and stakeholder cadence
Change control &amp; decision trail
Regional / session coordination</x:v>
      </x:c>
      <x:c r="E62" s="56"/>
      <x:c r="F62" s="56"/>
      <x:c r="G62" s="56" t="str">
        <x:v>Attendance &amp; completion KPIs
Satisfaction trend
Native Excel charts
Formula-driven executive reporting</x:v>
      </x:c>
      <x:c r="H62" s="56"/>
      <x:c r="I62" s="56"/>
    </x:row>
    <x:row r="63" ht="32" customHeight="1">
      <x:c r="A63" s="56"/>
      <x:c r="B63" s="56"/>
      <x:c r="C63" s="56"/>
      <x:c r="D63" s="56"/>
      <x:c r="E63" s="56"/>
      <x:c r="F63" s="56"/>
      <x:c r="G63" s="56"/>
      <x:c r="H63" s="56"/>
      <x:c r="I63" s="56"/>
    </x:row>
    <x:row r="64" ht="32" customHeight="1">
      <x:c r="A64" s="56"/>
      <x:c r="B64" s="56"/>
      <x:c r="C64" s="56"/>
      <x:c r="D64" s="56"/>
      <x:c r="E64" s="56"/>
      <x:c r="F64" s="56"/>
      <x:c r="G64" s="56"/>
      <x:c r="H64" s="56"/>
      <x:c r="I64" s="56"/>
    </x:row>
    <x:row r="65" ht="32" customHeight="1">
      <x:c r="A65" s="56"/>
      <x:c r="B65" s="56"/>
      <x:c r="C65" s="56"/>
      <x:c r="D65" s="56"/>
      <x:c r="E65" s="56"/>
      <x:c r="F65" s="56"/>
      <x:c r="G65" s="56"/>
      <x:c r="H65" s="56"/>
      <x:c r="I65" s="56"/>
    </x:row>
  </x:sheetData>
  <x:mergeCells>
    <x:mergeCell ref="A1:I1"/>
    <x:mergeCell ref="A12:I12"/>
    <x:mergeCell ref="B13:I13"/>
    <x:mergeCell ref="B14:I14"/>
    <x:mergeCell ref="B15:I15"/>
    <x:mergeCell ref="B16:I16"/>
    <x:mergeCell ref="B17:I17"/>
    <x:mergeCell ref="B18:I18"/>
    <x:mergeCell ref="A54:I54"/>
    <x:mergeCell ref="A55:I58"/>
    <x:mergeCell ref="A60:I60"/>
    <x:mergeCell ref="A61:C61"/>
    <x:mergeCell ref="D61:F61"/>
    <x:mergeCell ref="G61:I61"/>
    <x:mergeCell ref="A62:C65"/>
    <x:mergeCell ref="D62:F65"/>
    <x:mergeCell ref="G62:I65"/>
  </x:mergeCells>
  <x:pageMargins left="0.7" right="0.7" top="0.75" bottom="0.75" header="0.3" footer="0.3"/>
  <x:drawing xmlns:r="http://schemas.openxmlformats.org/officeDocument/2006/relationships" r:id="R6b213625184143ab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34" hidden="0" customWidth="1"/>
    <x:col min="4" max="4" width="42" hidden="0" customWidth="1"/>
  </x:cols>
  <x:sheetData>
    <x:row r="1">
      <x:c r="A1" s="10" t="str">
        <x:v>Area</x:v>
      </x:c>
      <x:c r="B1" s="10" t="str">
        <x:v>Formula Example</x:v>
      </x:c>
      <x:c r="C1" s="10" t="str">
        <x:v>Purpose</x:v>
      </x:c>
      <x:c r="D1" s="10" t="str">
        <x:v>Interview Talking Point</x:v>
      </x:c>
    </x:row>
    <x:row r="2">
      <x:c r="A2" s="16" t="str">
        <x:v>Regional Rollout</x:v>
      </x:c>
      <x:c r="B2" s="16" t="str">
        <x:v>=D2/C2</x:v>
      </x:c>
      <x:c r="C2" s="16" t="str">
        <x:v>Calculates regional attendance rate</x:v>
      </x:c>
      <x:c r="D2" s="16" t="str">
        <x:v>Shows automated participation KPI tracking.</x:v>
      </x:c>
    </x:row>
    <x:row r="3">
      <x:c r="A3" s="16" t="str">
        <x:v>Regional Rollout</x:v>
      </x:c>
      <x:c r="B3" s="16" t="str">
        <x:v>=E2/D2</x:v>
      </x:c>
      <x:c r="C3" s="16" t="str">
        <x:v>Calculates regional completion rate</x:v>
      </x:c>
      <x:c r="D3" s="16" t="str">
        <x:v>Measures completion among attendees.</x:v>
      </x:c>
    </x:row>
    <x:row r="4">
      <x:c r="A4" s="16" t="str">
        <x:v>Task Tracker</x:v>
      </x:c>
      <x:c r="B4" s="16" t="str">
        <x:v>=IF(F2="Complete",0,H2-TODAY())</x:v>
      </x:c>
      <x:c r="C4" s="16" t="str">
        <x:v>Calculates days remaining</x:v>
      </x:c>
      <x:c r="D4" s="16" t="str">
        <x:v>Supports proactive schedule monitoring.</x:v>
      </x:c>
    </x:row>
    <x:row r="5">
      <x:c r="A5" s="16" t="str">
        <x:v>Task Tracker</x:v>
      </x:c>
      <x:c r="B5" s="16" t="str">
        <x:v>=IF(F2="Complete","Green",IF(H2&lt;TODAY(),"Red",IF(H2-TODAY()&lt;=3,"Amber","Green")))</x:v>
      </x:c>
      <x:c r="C5" s="16" t="str">
        <x:v>RAG health</x:v>
      </x:c>
      <x:c r="D5" s="16" t="str">
        <x:v>Flags overdue or near-due work.</x:v>
      </x:c>
    </x:row>
    <x:row r="6">
      <x:c r="A6" s="16" t="str">
        <x:v>RAID Log</x:v>
      </x:c>
      <x:c r="B6" s="16" t="str">
        <x:v>=D2*E2</x:v>
      </x:c>
      <x:c r="C6" s="16" t="str">
        <x:v>Calculates probability x impact</x:v>
      </x:c>
      <x:c r="D6" s="16" t="str">
        <x:v>Standardizes risk prioritization.</x:v>
      </x:c>
    </x:row>
    <x:row r="7">
      <x:c r="A7" s="16" t="str">
        <x:v>Milestones</x:v>
      </x:c>
      <x:c r="B7" s="16" t="str">
        <x:v>=C2-B2</x:v>
      </x:c>
      <x:c r="C7" s="16" t="str">
        <x:v>Calculates schedule variance</x:v>
      </x:c>
      <x:c r="D7" s="16" t="str">
        <x:v>Shows baseline vs actual milestone performance.</x:v>
      </x:c>
    </x:row>
    <x:row r="8">
      <x:c r="A8" s="16" t="str">
        <x:v>Budget</x:v>
      </x:c>
      <x:c r="B8" s="16" t="str">
        <x:v>=B2-C2</x:v>
      </x:c>
      <x:c r="C8" s="16" t="str">
        <x:v>Calculates cost variance</x:v>
      </x:c>
      <x:c r="D8" s="16" t="str">
        <x:v>Tracks favorable/unfavorable budget performance.</x:v>
      </x:c>
    </x:row>
    <x:row r="9">
      <x:c r="A9" s="16" t="str">
        <x:v>Dashboard</x:v>
      </x:c>
      <x:c r="B9" s="16" t="str">
        <x:v>=SUM('Regional Rollout'!E2:E5)</x:v>
      </x:c>
      <x:c r="C9" s="16" t="str">
        <x:v>Aggregates program completions</x:v>
      </x:c>
      <x:c r="D9" s="16" t="str">
        <x:v>Rolls source data into executive reporting.</x:v>
      </x:c>
    </x:row>
    <x:row r="10">
      <x:c r="A10" s="16" t="str">
        <x:v>Dashboard</x:v>
      </x:c>
      <x:c r="B10" s="16" t="str">
        <x:v>=AVERAGE('Regional Rollout'!H2:H5)</x:v>
      </x:c>
      <x:c r="C10" s="16" t="str">
        <x:v>Calculates overall satisfaction</x:v>
      </x:c>
      <x:c r="D10" s="16" t="str">
        <x:v>Tracks learner experience at program level.</x:v>
      </x:c>
    </x:row>
  </x:sheetData>
  <x:pageMargins left="0.7" right="0.7" top="0.75" bottom="0.75" header="0.3" footer="0.3"/>
</x:worksheet>
</file>