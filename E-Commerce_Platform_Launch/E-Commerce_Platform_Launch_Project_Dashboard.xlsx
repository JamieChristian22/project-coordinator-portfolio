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87764633a04c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 Metrics" sheetId="1" r:id="R13c9d30f4db5481e"/>
    <x:sheet xmlns:r="http://schemas.openxmlformats.org/officeDocument/2006/relationships" name="Task Tracker" sheetId="2" r:id="Rc328b082024041c5"/>
    <x:sheet xmlns:r="http://schemas.openxmlformats.org/officeDocument/2006/relationships" name="RAID Log" sheetId="3" r:id="Ra16efae0c71343f4"/>
    <x:sheet xmlns:r="http://schemas.openxmlformats.org/officeDocument/2006/relationships" name="Milestones" sheetId="4" r:id="R7b91caada90e4b72"/>
    <x:sheet xmlns:r="http://schemas.openxmlformats.org/officeDocument/2006/relationships" name="Budget" sheetId="5" r:id="R18eb2bb96b3b4c53"/>
    <x:sheet xmlns:r="http://schemas.openxmlformats.org/officeDocument/2006/relationships" name="RACI &amp; Stakeholders" sheetId="6" r:id="Rc11ebcfc014b4fb6"/>
    <x:sheet xmlns:r="http://schemas.openxmlformats.org/officeDocument/2006/relationships" name="Change Log" sheetId="7" r:id="R59d16971366a4fea"/>
    <x:sheet xmlns:r="http://schemas.openxmlformats.org/officeDocument/2006/relationships" name="Dashboard" sheetId="8" r:id="R123d58ed402c46ee"/>
    <x:sheet xmlns:r="http://schemas.openxmlformats.org/officeDocument/2006/relationships" name="Formula Guide" sheetId="9" r:id="Rf10d348f7c584b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/dd/yyyy"/>
    <x:numFmt numFmtId="201" formatCode="0%"/>
    <x:numFmt numFmtId="202" formatCode="$#,##0"/>
    <x:numFmt numFmtId="203" formatCode="0.0%"/>
    <x:numFmt numFmtId="204" formatCode="mmm d, yyyy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</x:fills>
  <x:borders count="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202" fontId="0" fillId="0" borderId="0" xfId="0" applyNumberFormat="1" applyFont="1" applyFill="1" applyBorder="1"/>
    <x:xf numFmtId="202" fontId="1" fillId="3" borderId="0" xfId="0" applyNumberFormat="1" applyFont="1" applyFill="1" applyBorder="1"/>
    <x:xf numFmtId="202" fontId="0" fillId="0" borderId="1" xfId="0" applyNumberFormat="1" applyFont="1" applyFill="1" applyBorder="1"/>
    <x:xf numFmtId="202" fontId="1" fillId="3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3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3" fontId="0" fillId="0" borderId="7" xfId="0" applyNumberFormat="1" applyFont="1" applyFill="1" applyBorder="1" applyAlignment="1">
      <x:alignment wrapText="1"/>
    </x:xf>
    <x:xf numFmtId="204" fontId="0" fillId="0" borderId="7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339b8029a7495b" /><Relationship Type="http://schemas.openxmlformats.org/officeDocument/2006/relationships/theme" Target="/xl/theme/theme1.xml" Id="R10eb129723c8488e" /><Relationship Type="http://schemas.openxmlformats.org/officeDocument/2006/relationships/sharedStrings" Target="/xl/sharedStrings.xml" Id="R62ad8c93e1e741ef" /><Relationship Type="http://schemas.openxmlformats.org/officeDocument/2006/relationships/worksheet" Target="/xl/worksheets/sheet1.xml" Id="R13c9d30f4db5481e" /><Relationship Type="http://schemas.openxmlformats.org/officeDocument/2006/relationships/worksheet" Target="/xl/worksheets/sheet2.xml" Id="Rc328b082024041c5" /><Relationship Type="http://schemas.openxmlformats.org/officeDocument/2006/relationships/worksheet" Target="/xl/worksheets/sheet3.xml" Id="Ra16efae0c71343f4" /><Relationship Type="http://schemas.openxmlformats.org/officeDocument/2006/relationships/worksheet" Target="/xl/worksheets/sheet4.xml" Id="R7b91caada90e4b72" /><Relationship Type="http://schemas.openxmlformats.org/officeDocument/2006/relationships/worksheet" Target="/xl/worksheets/sheet5.xml" Id="R18eb2bb96b3b4c53" /><Relationship Type="http://schemas.openxmlformats.org/officeDocument/2006/relationships/worksheet" Target="/xl/worksheets/sheet6.xml" Id="Rc11ebcfc014b4fb6" /><Relationship Type="http://schemas.openxmlformats.org/officeDocument/2006/relationships/worksheet" Target="/xl/worksheets/sheet7.xml" Id="R59d16971366a4fea" /><Relationship Type="http://schemas.openxmlformats.org/officeDocument/2006/relationships/worksheet" Target="/xl/worksheets/sheet8.xml" Id="R123d58ed402c46ee" /><Relationship Type="http://schemas.openxmlformats.org/officeDocument/2006/relationships/worksheet" Target="/xl/worksheets/sheet9.xml" Id="Rf10d348f7c584b3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24982b811224d31" /><Relationship Type="http://schemas.openxmlformats.org/officeDocument/2006/relationships/chart" Target="/xl/drawings/charts/chart2.xml" Id="R04cb876a35204a14" /><Relationship Type="http://schemas.openxmlformats.org/officeDocument/2006/relationships/chart" Target="/xl/drawings/charts/chart3.xml" Id="R29c05decc2614c83" /><Relationship Type="http://schemas.openxmlformats.org/officeDocument/2006/relationships/chart" Target="/xl/drawings/charts/chart4.xml" Id="R4d7fdbb5746f4a1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Weekly Task Delivery</a:t>
            </a:r>
          </a:p>
        </c:rich>
      </c:tx>
    </c:title>
    <c:plotArea>
      <c:lineChart>
        <c:grouping val="standard"/>
        <c:ser>
          <c:idx val="0"/>
          <c:order val="0"/>
          <c:tx>
            <c:v>Tasks Completed</c:v>
          </c:tx>
          <c:marker>
            <c:symbol val="none"/>
          </c:marker>
          <c:cat>
            <c:strRef>
              <c:f>'Dashboard'!$H$5:$H$10</c:f>
              <c:strCache>
                <c:ptCount val="0"/>
              </c:strCache>
            </c:strRef>
          </c:cat>
          <c:val>
            <c:numRef>
              <c:f>'Dashboard'!$I$5:$I$10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Team Velocity Trend</a:t>
            </a:r>
          </a:p>
        </c:rich>
      </c:tx>
    </c:title>
    <c:plotArea>
      <c:lineChart>
        <c:grouping val="standard"/>
        <c:ser>
          <c:idx val="0"/>
          <c:order val="0"/>
          <c:tx>
            <c:v>Velocity</c:v>
          </c:tx>
          <c:marker>
            <c:symbol val="none"/>
          </c:marker>
          <c:cat>
            <c:strRef>
              <c:f>'Dashboard'!$H$14:$H$19</c:f>
              <c:strCache>
                <c:ptCount val="0"/>
              </c:strCache>
            </c:strRef>
          </c:cat>
          <c:val>
            <c:numRef>
              <c:f>'Dashboard'!$I$14:$I$19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Baseline vs Actual Cost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Baseline Budget</c:v>
          </c:tx>
          <c:cat>
            <c:strRef>
              <c:f>'Budget'!$A$2:$A$6</c:f>
              <c:strCache>
                <c:ptCount val="0"/>
              </c:strCache>
            </c:strRef>
          </c:cat>
          <c:val>
            <c:numRef>
              <c:f>'Budget'!$B$2:$B$6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Actual Cost</c:v>
          </c:tx>
          <c:cat>
            <c:strRef>
              <c:f>'Budget'!$A$2:$A$6</c:f>
              <c:strCache>
                <c:ptCount val="0"/>
              </c:strCache>
            </c:strRef>
          </c:cat>
          <c:val>
            <c:numRef>
              <c:f>'Budget'!$C$2:$C$6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Milestone Schedule Variance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Baseline Date</c:v>
          </c:tx>
          <c:cat>
            <c:strRef>
              <c:f>'Milestones'!$A$2:$A$7</c:f>
              <c:strCache>
                <c:ptCount val="0"/>
              </c:strCache>
            </c:strRef>
          </c:cat>
          <c:val>
            <c:numRef>
              <c:f>'Milestones'!$B$2:$B$7</c:f>
              <c:numCache>
                <c:formatCode>mm/dd/yyyy</c:formatCode>
                <c:ptCount val="0"/>
              </c:numCache>
            </c:numRef>
          </c:val>
        </c:ser>
        <c:ser>
          <c:idx val="1"/>
          <c:order val="1"/>
          <c:tx>
            <c:v>Actual Date</c:v>
          </c:tx>
          <c:cat>
            <c:strRef>
              <c:f>'Milestones'!$A$2:$A$7</c:f>
              <c:strCache>
                <c:ptCount val="0"/>
              </c:strCache>
            </c:strRef>
          </c:cat>
          <c:val>
            <c:numRef>
              <c:f>'Milestones'!$C$2:$C$7</c:f>
              <c:numCache>
                <c:formatCode>mm/dd/yyyy</c:formatCode>
                <c:ptCount val="0"/>
              </c:numCache>
            </c:numRef>
          </c:val>
        </c:ser>
        <c:ser>
          <c:idx val="2"/>
          <c:order val="2"/>
          <c:tx>
            <c:v>Status</c:v>
          </c:tx>
          <c:cat>
            <c:strRef>
              <c:f>'Milestones'!$A$2:$A$7</c:f>
              <c:strCache>
                <c:ptCount val="0"/>
              </c:strCache>
            </c:strRef>
          </c:cat>
          <c:val>
            <c:numRef>
              <c:f>'Milestones'!$D$2:$D$7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Days Variance</c:v>
          </c:tx>
          <c:cat>
            <c:strRef>
              <c:f>'Milestones'!$A$2:$A$7</c:f>
              <c:strCache>
                <c:ptCount val="0"/>
              </c:strCache>
            </c:strRef>
          </c:cat>
          <c:val>
            <c:numRef>
              <c:f>'Milestones'!$E$2:$E$7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18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4982b811224d31"/>
        </a:graphicData>
      </a:graphic>
    </xdr:graphicFrame>
    <xdr:clientData/>
  </xdr:twoCellAnchor>
  <xdr:twoCellAnchor>
    <xdr:from>
      <xdr:col>10</xdr:col>
      <xdr:colOff>0</xdr:colOff>
      <xdr:row>16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cb876a35204a14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9</xdr:col>
      <xdr:colOff>0</xdr:colOff>
      <xdr:row>37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c05decc2614c83"/>
        </a:graphicData>
      </a:graphic>
    </xdr:graphicFrame>
    <xdr:clientData/>
  </xdr:twoCellAnchor>
  <xdr:twoCellAnchor>
    <xdr:from>
      <xdr:col>10</xdr:col>
      <xdr:colOff>0</xdr:colOff>
      <xdr:row>31</xdr:row>
      <xdr:rowOff>0</xdr:rowOff>
    </xdr:from>
    <xdr:to>
      <xdr:col>18</xdr:col>
      <xdr:colOff>0</xdr:colOff>
      <xdr:row>48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7fdbb5746f4a1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eeklyMetricsTable" displayName="WeeklyMetricsTable" ref="A1:H7" headerRowCount="1" totalsRowCount="0" totalsRowShown="0">
  <x:tableColumns count="8">
    <x:tableColumn id="1" name="Week"/>
    <x:tableColumn id="2" name="Tasks Planned"/>
    <x:tableColumn id="3" name="Tasks Completed"/>
    <x:tableColumn id="4" name="Open Issues"/>
    <x:tableColumn id="5" name="Closed Issues"/>
    <x:tableColumn id="6" name="Team Velocity"/>
    <x:tableColumn id="7" name="Milestones Due"/>
    <x:tableColumn id="8" name="Milestones Complet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skTrackerTable" displayName="TaskTrackerTable" ref="A1:L11" headerRowCount="1" totalsRowCount="0" totalsRowShown="0">
  <x:tableColumns count="12">
    <x:tableColumn id="1" name="ID"/>
    <x:tableColumn id="2" name="Workstream"/>
    <x:tableColumn id="3" name="Task"/>
    <x:tableColumn id="4" name="Owner"/>
    <x:tableColumn id="5" name="Priority"/>
    <x:tableColumn id="6" name="Status"/>
    <x:tableColumn id="7" name="Start Date"/>
    <x:tableColumn id="8" name="Due Date"/>
    <x:tableColumn id="9" name="% Complete"/>
    <x:tableColumn id="10" name="Dependency"/>
    <x:tableColumn id="11" name="Days to Due"/>
    <x:tableColumn id="12" name="Health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AIDTable" displayName="RAIDTable" ref="A1:K6" headerRowCount="1" totalsRowCount="0" totalsRowShown="0">
  <x:tableColumns count="11">
    <x:tableColumn id="1" name="RAID ID"/>
    <x:tableColumn id="2" name="Type"/>
    <x:tableColumn id="3" name="Description"/>
    <x:tableColumn id="4" name="Impact"/>
    <x:tableColumn id="5" name="Probability"/>
    <x:tableColumn id="6" name="Score"/>
    <x:tableColumn id="7" name="Owner"/>
    <x:tableColumn id="8" name="Response / Mitigation"/>
    <x:tableColumn id="9" name="Target Date"/>
    <x:tableColumn id="10" name="Status"/>
    <x:tableColumn id="11" name="Escal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ilestoneTable" displayName="MilestoneTable" ref="A1:G7" headerRowCount="1" totalsRowCount="0" totalsRowShown="0">
  <x:tableColumns count="7">
    <x:tableColumn id="1" name="Milestone"/>
    <x:tableColumn id="2" name="Baseline Date"/>
    <x:tableColumn id="3" name="Actual Date"/>
    <x:tableColumn id="4" name="Status"/>
    <x:tableColumn id="5" name="Days Variance"/>
    <x:tableColumn id="6" name="Exit Criteria"/>
    <x:tableColumn id="7" name="Owne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udgetTable" displayName="BudgetTable" ref="A1:G6" headerRowCount="1" totalsRowCount="0" totalsRowShown="0">
  <x:tableColumns count="7">
    <x:tableColumn id="1" name="Category"/>
    <x:tableColumn id="2" name="Baseline Budget"/>
    <x:tableColumn id="3" name="Actual Cost"/>
    <x:tableColumn id="4" name="Variance"/>
    <x:tableColumn id="5" name="Variance %"/>
    <x:tableColumn id="6" name="Forecast at Completion"/>
    <x:tableColumn id="7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ACITable" displayName="RACITable" ref="A1:H9" headerRowCount="1" totalsRowCount="0" totalsRowShown="0">
  <x:tableColumns count="8">
    <x:tableColumn id="1" name="Deliverable / Decision"/>
    <x:tableColumn id="2" name="Sponsor"/>
    <x:tableColumn id="3" name="Project Coordinator"/>
    <x:tableColumn id="4" name="Engineering Lead"/>
    <x:tableColumn id="5" name="Product Lead"/>
    <x:tableColumn id="6" name="QA Lead"/>
    <x:tableColumn id="7" name="Security"/>
    <x:tableColumn id="8" name="Operation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hangeTable" displayName="ChangeTable" ref="A1:G4" headerRowCount="1" totalsRowCount="0" totalsRowShown="0">
  <x:tableColumns count="7">
    <x:tableColumn id="1" name="Change ID"/>
    <x:tableColumn id="2" name="Request"/>
    <x:tableColumn id="3" name="Reason"/>
    <x:tableColumn id="4" name="Impact"/>
    <x:tableColumn id="5" name="Decision"/>
    <x:tableColumn id="6" name="Decision Date"/>
    <x:tableColumn id="7" name="Own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8074d5cbd54a7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3a0365ba73d4e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18d24f1509e4a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f27b031a2ee42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194b00b7e9b41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0225fc10a79416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c0f743153ca485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af22035df80b4834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.630000114440918" hidden="0" customWidth="1"/>
    <x:col min="3" max="3" width="15.75" hidden="0" customWidth="1"/>
    <x:col min="4" max="4" width="12.25" hidden="0" customWidth="1"/>
    <x:col min="5" max="5" width="13.130000114440918" hidden="0" customWidth="1"/>
    <x:col min="6" max="6" width="13.630000114440918" hidden="0" customWidth="1"/>
    <x:col min="7" max="7" width="14.880000114440918" hidden="0" customWidth="1"/>
    <x:col min="8" max="8" width="20.1299991607666" hidden="0" customWidth="1"/>
  </x:cols>
  <x:sheetData>
    <x:row r="1">
      <x:c r="A1" s="8" t="str">
        <x:v>Week</x:v>
      </x:c>
      <x:c r="B1" s="8" t="str">
        <x:v>Tasks Planned</x:v>
      </x:c>
      <x:c r="C1" s="8" t="str">
        <x:v>Tasks Completed</x:v>
      </x:c>
      <x:c r="D1" s="8" t="str">
        <x:v>Open Issues</x:v>
      </x:c>
      <x:c r="E1" s="8" t="str">
        <x:v>Closed Issues</x:v>
      </x:c>
      <x:c r="F1" s="8" t="str">
        <x:v>Team Velocity</x:v>
      </x:c>
      <x:c r="G1" s="8" t="str">
        <x:v>Milestones Due</x:v>
      </x:c>
      <x:c r="H1" s="8" t="str">
        <x:v>Milestones Completed</x:v>
      </x:c>
      <x:c r="I1" s="46" t="str">
        <x:v>Completion %</x:v>
      </x:c>
      <x:c r="J1" s="46" t="str">
        <x:v>Issue Closure %</x:v>
      </x:c>
      <x:c r="K1" s="46" t="str">
        <x:v>Milestone Completion %</x:v>
      </x:c>
    </x:row>
    <x:row r="2">
      <x:c r="A2" s="9" t="str">
        <x:v>Week 1</x:v>
      </x:c>
      <x:c r="B2" s="9" t="n">
        <x:v>14</x:v>
      </x:c>
      <x:c r="C2" s="9" t="n">
        <x:v>12</x:v>
      </x:c>
      <x:c r="D2" s="9" t="n">
        <x:v>2</x:v>
      </x:c>
      <x:c r="E2" s="9" t="n">
        <x:v>1</x:v>
      </x:c>
      <x:c r="F2" s="9" t="n">
        <x:v>24</x:v>
      </x:c>
      <x:c r="G2" s="9" t="n">
        <x:v>2</x:v>
      </x:c>
      <x:c r="H2" s="9" t="n">
        <x:v>2</x:v>
      </x:c>
      <x:c r="I2" s="28" t="n">
        <x:f>IFERROR(C2/B2,0)</x:f>
        <x:v>0.8571428571428571</x:v>
      </x:c>
      <x:c r="J2" s="28" t="n">
        <x:f>IFERROR(E2/(D2+E2),0)</x:f>
        <x:v>0.3333333333333333</x:v>
      </x:c>
      <x:c r="K2" s="28" t="n">
        <x:f>IFERROR(H2/G2,0)</x:f>
        <x:v>1</x:v>
      </x:c>
    </x:row>
    <x:row r="3">
      <x:c r="A3" s="9" t="str">
        <x:v>Week 2</x:v>
      </x:c>
      <x:c r="B3" s="9" t="n">
        <x:v>17</x:v>
      </x:c>
      <x:c r="C3" s="9" t="n">
        <x:v>15</x:v>
      </x:c>
      <x:c r="D3" s="9" t="n">
        <x:v>3</x:v>
      </x:c>
      <x:c r="E3" s="9" t="n">
        <x:v>2</x:v>
      </x:c>
      <x:c r="F3" s="9" t="n">
        <x:v>30</x:v>
      </x:c>
      <x:c r="G3" s="9" t="n">
        <x:v>2</x:v>
      </x:c>
      <x:c r="H3" s="9" t="n">
        <x:v>1</x:v>
      </x:c>
      <x:c r="I3" s="28" t="n">
        <x:f>IFERROR(C3/B3,0)</x:f>
        <x:v>0.8823529411764706</x:v>
      </x:c>
      <x:c r="J3" s="28" t="n">
        <x:f>IFERROR(E3/(D3+E3),0)</x:f>
        <x:v>0.4</x:v>
      </x:c>
      <x:c r="K3" s="28" t="n">
        <x:f>IFERROR(H3/G3,0)</x:f>
        <x:v>0.5</x:v>
      </x:c>
    </x:row>
    <x:row r="4">
      <x:c r="A4" s="9" t="str">
        <x:v>Week 3</x:v>
      </x:c>
      <x:c r="B4" s="9" t="n">
        <x:v>19</x:v>
      </x:c>
      <x:c r="C4" s="9" t="n">
        <x:v>18</x:v>
      </x:c>
      <x:c r="D4" s="9" t="n">
        <x:v>1</x:v>
      </x:c>
      <x:c r="E4" s="9" t="n">
        <x:v>4</x:v>
      </x:c>
      <x:c r="F4" s="9" t="n">
        <x:v>36</x:v>
      </x:c>
      <x:c r="G4" s="9" t="n">
        <x:v>2</x:v>
      </x:c>
      <x:c r="H4" s="9" t="n">
        <x:v>2</x:v>
      </x:c>
      <x:c r="I4" s="28" t="n">
        <x:f>IFERROR(C4/B4,0)</x:f>
        <x:v>0.9473684210526315</x:v>
      </x:c>
      <x:c r="J4" s="28" t="n">
        <x:f>IFERROR(E4/(D4+E4),0)</x:f>
        <x:v>0.8</x:v>
      </x:c>
      <x:c r="K4" s="28" t="n">
        <x:f>IFERROR(H4/G4,0)</x:f>
        <x:v>1</x:v>
      </x:c>
    </x:row>
    <x:row r="5">
      <x:c r="A5" s="9" t="str">
        <x:v>Week 4</x:v>
      </x:c>
      <x:c r="B5" s="9" t="n">
        <x:v>20</x:v>
      </x:c>
      <x:c r="C5" s="9" t="n">
        <x:v>19</x:v>
      </x:c>
      <x:c r="D5" s="9" t="n">
        <x:v>1</x:v>
      </x:c>
      <x:c r="E5" s="9" t="n">
        <x:v>2</x:v>
      </x:c>
      <x:c r="F5" s="9" t="n">
        <x:v>38</x:v>
      </x:c>
      <x:c r="G5" s="9" t="n">
        <x:v>2</x:v>
      </x:c>
      <x:c r="H5" s="9" t="n">
        <x:v>2</x:v>
      </x:c>
      <x:c r="I5" s="28" t="n">
        <x:f>IFERROR(C5/B5,0)</x:f>
        <x:v>0.95</x:v>
      </x:c>
      <x:c r="J5" s="28" t="n">
        <x:f>IFERROR(E5/(D5+E5),0)</x:f>
        <x:v>0.6666666666666666</x:v>
      </x:c>
      <x:c r="K5" s="28" t="n">
        <x:f>IFERROR(H5/G5,0)</x:f>
        <x:v>1</x:v>
      </x:c>
    </x:row>
    <x:row r="6">
      <x:c r="A6" s="9" t="str">
        <x:v>Week 5</x:v>
      </x:c>
      <x:c r="B6" s="9" t="n">
        <x:v>22</x:v>
      </x:c>
      <x:c r="C6" s="9" t="n">
        <x:v>21</x:v>
      </x:c>
      <x:c r="D6" s="9" t="n">
        <x:v>0</x:v>
      </x:c>
      <x:c r="E6" s="9" t="n">
        <x:v>2</x:v>
      </x:c>
      <x:c r="F6" s="9" t="n">
        <x:v>42</x:v>
      </x:c>
      <x:c r="G6" s="9" t="n">
        <x:v>1</x:v>
      </x:c>
      <x:c r="H6" s="9" t="n">
        <x:v>1</x:v>
      </x:c>
      <x:c r="I6" s="28" t="n">
        <x:f>IFERROR(C6/B6,0)</x:f>
        <x:v>0.9545454545454546</x:v>
      </x:c>
      <x:c r="J6" s="28" t="n">
        <x:f>IFERROR(E6/(D6+E6),0)</x:f>
        <x:v>1</x:v>
      </x:c>
      <x:c r="K6" s="28" t="n">
        <x:f>IFERROR(H6/G6,0)</x:f>
        <x:v>1</x:v>
      </x:c>
    </x:row>
    <x:row r="7">
      <x:c r="A7" s="9" t="str">
        <x:v>Week 6</x:v>
      </x:c>
      <x:c r="B7" s="9" t="n">
        <x:v>24</x:v>
      </x:c>
      <x:c r="C7" s="9" t="n">
        <x:v>24</x:v>
      </x:c>
      <x:c r="D7" s="9" t="n">
        <x:v>0</x:v>
      </x:c>
      <x:c r="E7" s="9" t="n">
        <x:v>1</x:v>
      </x:c>
      <x:c r="F7" s="9" t="n">
        <x:v>48</x:v>
      </x:c>
      <x:c r="G7" s="9" t="n">
        <x:v>1</x:v>
      </x:c>
      <x:c r="H7" s="9" t="n">
        <x:v>1</x:v>
      </x:c>
      <x:c r="I7" s="28" t="n">
        <x:f>IFERROR(C7/B7,0)</x:f>
        <x:v>1</x:v>
      </x:c>
      <x:c r="J7" s="28" t="n">
        <x:f>IFERROR(E7/(D7+E7),0)</x:f>
        <x:v>1</x:v>
      </x:c>
      <x:c r="K7" s="28" t="n">
        <x:f>IFERROR(H7/G7,0)</x:f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f8074d5cbd54a7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.75" hidden="0" customWidth="1"/>
    <x:col min="2" max="2" width="12.5" hidden="0" customWidth="1"/>
    <x:col min="3" max="3" width="30" hidden="0" customWidth="1"/>
    <x:col min="4" max="4" width="15.130000114440918" hidden="0" customWidth="1"/>
    <x:col min="5" max="5" width="8.880000114440918" hidden="0" customWidth="1"/>
    <x:col min="6" max="6" width="9.75" hidden="0" customWidth="1"/>
    <x:col min="7" max="7" width="10.75" hidden="0" customWidth="1"/>
    <x:col min="8" max="8" width="10.130000114440918" hidden="0" customWidth="1"/>
    <x:col min="9" max="9" width="12.130000114440918" hidden="0" customWidth="1"/>
    <x:col min="10" max="10" width="18" hidden="0" customWidth="1"/>
    <x:col min="11" max="11" width="12.130000114440918" hidden="0" customWidth="1"/>
    <x:col min="12" max="12" width="8.130000114440918" hidden="0" customWidth="1"/>
  </x:cols>
  <x:sheetData>
    <x:row r="1">
      <x:c r="A1" s="8" t="str">
        <x:v>ID</x:v>
      </x:c>
      <x:c r="B1" s="8" t="str">
        <x:v>Workstream</x:v>
      </x:c>
      <x:c r="C1" s="8" t="str">
        <x:v>Task</x:v>
      </x:c>
      <x:c r="D1" s="8" t="str">
        <x:v>Owner</x:v>
      </x:c>
      <x:c r="E1" s="8" t="str">
        <x:v>Priority</x:v>
      </x:c>
      <x:c r="F1" s="8" t="str">
        <x:v>Status</x:v>
      </x:c>
      <x:c r="G1" s="8" t="str">
        <x:v>Start Date</x:v>
      </x:c>
      <x:c r="H1" s="8" t="str">
        <x:v>Due Date</x:v>
      </x:c>
      <x:c r="I1" s="8" t="str">
        <x:v>% Complete</x:v>
      </x:c>
      <x:c r="J1" s="8" t="str">
        <x:v>Dependency</x:v>
      </x:c>
      <x:c r="K1" s="8" t="str">
        <x:v>Days to Due</x:v>
      </x:c>
      <x:c r="L1" s="8" t="str">
        <x:v>Health</x:v>
      </x:c>
      <x:c r="M1" s="46" t="str">
        <x:v>Schedule % Used</x:v>
      </x:c>
    </x:row>
    <x:row r="2">
      <x:c r="A2" s="9" t="str">
        <x:v>EC-001</x:v>
      </x:c>
      <x:c r="B2" s="9" t="str">
        <x:v>Project Mgmt</x:v>
      </x:c>
      <x:c r="C2" s="9" t="str">
        <x:v>Approve project charter</x:v>
      </x:c>
      <x:c r="D2" s="9" t="str">
        <x:v>Project Coordinator</x:v>
      </x:c>
      <x:c r="E2" s="9" t="str">
        <x:v>High</x:v>
      </x:c>
      <x:c r="F2" s="9" t="str">
        <x:v>Complete</x:v>
      </x:c>
      <x:c r="G2" s="16" t="n">
        <x:v>46209</x:v>
      </x:c>
      <x:c r="H2" s="16" t="n">
        <x:v>46211</x:v>
      </x:c>
      <x:c r="I2" s="17" t="n">
        <x:v>1</x:v>
      </x:c>
      <x:c r="J2" s="9" t="str">
        <x:v>None</x:v>
      </x:c>
      <x:c r="K2" s="9" t="n">
        <x:f>IF(F2="Complete",0,H2-TODAY())</x:f>
        <x:v>0</x:v>
      </x:c>
      <x:c r="L2" s="9" t="str">
        <x:f>IF(F2="Complete","Green",IF(H2&lt;TODAY(),"Red",IF(H2-TODAY()&lt;=3,"Amber","Green")))</x:f>
        <x:v>Green</x:v>
      </x:c>
      <x:c r="M2" s="28" t="n">
        <x:f>IFERROR((MIN(TODAY(),H2)-G2)/(H2-G2),0)</x:f>
        <x:v>1</x:v>
      </x:c>
    </x:row>
    <x:row r="3">
      <x:c r="A3" s="9" t="str">
        <x:v>EC-002</x:v>
      </x:c>
      <x:c r="B3" s="9" t="str">
        <x:v>Platform</x:v>
      </x:c>
      <x:c r="C3" s="9" t="str">
        <x:v>Configure storefront framework</x:v>
      </x:c>
      <x:c r="D3" s="9" t="str">
        <x:v>Engineering Lead</x:v>
      </x:c>
      <x:c r="E3" s="9" t="str">
        <x:v>High</x:v>
      </x:c>
      <x:c r="F3" s="9" t="str">
        <x:v>Complete</x:v>
      </x:c>
      <x:c r="G3" s="16" t="n">
        <x:v>46211</x:v>
      </x:c>
      <x:c r="H3" s="16" t="n">
        <x:v>46220</x:v>
      </x:c>
      <x:c r="I3" s="17" t="n">
        <x:v>1</x:v>
      </x:c>
      <x:c r="J3" s="9" t="str">
        <x:v>EC-001</x:v>
      </x:c>
      <x:c r="K3" s="9" t="n">
        <x:f>IF(F3="Complete",0,H3-TODAY())</x:f>
        <x:v>0</x:v>
      </x:c>
      <x:c r="L3" s="9" t="str">
        <x:f>IF(F3="Complete","Green",IF(H3&lt;TODAY(),"Red",IF(H3-TODAY()&lt;=3,"Amber","Green")))</x:f>
        <x:v>Green</x:v>
      </x:c>
      <x:c r="M3" s="28" t="n">
        <x:f>IFERROR((MIN(TODAY(),H3)-G3)/(H3-G3),0)</x:f>
        <x:v>1</x:v>
      </x:c>
    </x:row>
    <x:row r="4">
      <x:c r="A4" s="9" t="str">
        <x:v>EC-003</x:v>
      </x:c>
      <x:c r="B4" s="9" t="str">
        <x:v>Catalog</x:v>
      </x:c>
      <x:c r="C4" s="9" t="str">
        <x:v>Load initial product catalog</x:v>
      </x:c>
      <x:c r="D4" s="9" t="str">
        <x:v>Product Lead</x:v>
      </x:c>
      <x:c r="E4" s="9" t="str">
        <x:v>High</x:v>
      </x:c>
      <x:c r="F4" s="9" t="str">
        <x:v>Complete</x:v>
      </x:c>
      <x:c r="G4" s="16" t="n">
        <x:v>46216</x:v>
      </x:c>
      <x:c r="H4" s="16" t="n">
        <x:v>46227</x:v>
      </x:c>
      <x:c r="I4" s="17" t="n">
        <x:v>1</x:v>
      </x:c>
      <x:c r="J4" s="9" t="str">
        <x:v>EC-002</x:v>
      </x:c>
      <x:c r="K4" s="9" t="n">
        <x:f>IF(F4="Complete",0,H4-TODAY())</x:f>
        <x:v>0</x:v>
      </x:c>
      <x:c r="L4" s="9" t="str">
        <x:f>IF(F4="Complete","Green",IF(H4&lt;TODAY(),"Red",IF(H4-TODAY()&lt;=3,"Amber","Green")))</x:f>
        <x:v>Green</x:v>
      </x:c>
      <x:c r="M4" s="28" t="n">
        <x:f>IFERROR((MIN(TODAY(),H4)-G4)/(H4-G4),0)</x:f>
        <x:v>1</x:v>
      </x:c>
    </x:row>
    <x:row r="5">
      <x:c r="A5" s="9" t="str">
        <x:v>EC-004</x:v>
      </x:c>
      <x:c r="B5" s="9" t="str">
        <x:v>Payments</x:v>
      </x:c>
      <x:c r="C5" s="9" t="str">
        <x:v>Integrate payment gateway</x:v>
      </x:c>
      <x:c r="D5" s="9" t="str">
        <x:v>Engineering Lead</x:v>
      </x:c>
      <x:c r="E5" s="9" t="str">
        <x:v>Critical</x:v>
      </x:c>
      <x:c r="F5" s="9" t="str">
        <x:v>Complete</x:v>
      </x:c>
      <x:c r="G5" s="16" t="n">
        <x:v>46216</x:v>
      </x:c>
      <x:c r="H5" s="16" t="n">
        <x:v>46230</x:v>
      </x:c>
      <x:c r="I5" s="17" t="n">
        <x:v>1</x:v>
      </x:c>
      <x:c r="J5" s="9" t="str">
        <x:v>EC-002</x:v>
      </x:c>
      <x:c r="K5" s="9" t="n">
        <x:f>IF(F5="Complete",0,H5-TODAY())</x:f>
        <x:v>0</x:v>
      </x:c>
      <x:c r="L5" s="9" t="str">
        <x:f>IF(F5="Complete","Green",IF(H5&lt;TODAY(),"Red",IF(H5-TODAY()&lt;=3,"Amber","Green")))</x:f>
        <x:v>Green</x:v>
      </x:c>
      <x:c r="M5" s="28" t="n">
        <x:f>IFERROR((MIN(TODAY(),H5)-G5)/(H5-G5),0)</x:f>
        <x:v>1</x:v>
      </x:c>
    </x:row>
    <x:row r="6">
      <x:c r="A6" s="9" t="str">
        <x:v>EC-005</x:v>
      </x:c>
      <x:c r="B6" s="9" t="str">
        <x:v>QA</x:v>
      </x:c>
      <x:c r="C6" s="9" t="str">
        <x:v>Execute checkout test cases</x:v>
      </x:c>
      <x:c r="D6" s="9" t="str">
        <x:v>QA Lead</x:v>
      </x:c>
      <x:c r="E6" s="9" t="str">
        <x:v>Critical</x:v>
      </x:c>
      <x:c r="F6" s="9" t="str">
        <x:v>Complete</x:v>
      </x:c>
      <x:c r="G6" s="16" t="n">
        <x:v>46230</x:v>
      </x:c>
      <x:c r="H6" s="16" t="n">
        <x:v>46239</x:v>
      </x:c>
      <x:c r="I6" s="17" t="n">
        <x:v>1</x:v>
      </x:c>
      <x:c r="J6" s="9" t="str">
        <x:v>EC-003, EC-004</x:v>
      </x:c>
      <x:c r="K6" s="9" t="n">
        <x:f>IF(F6="Complete",0,H6-TODAY())</x:f>
        <x:v>0</x:v>
      </x:c>
      <x:c r="L6" s="9" t="str">
        <x:f>IF(F6="Complete","Green",IF(H6&lt;TODAY(),"Red",IF(H6-TODAY()&lt;=3,"Amber","Green")))</x:f>
        <x:v>Green</x:v>
      </x:c>
      <x:c r="M6" s="28" t="n">
        <x:f>IFERROR((MIN(TODAY(),H6)-G6)/(H6-G6),0)</x:f>
        <x:v>1</x:v>
      </x:c>
    </x:row>
    <x:row r="7">
      <x:c r="A7" s="9" t="str">
        <x:v>EC-006</x:v>
      </x:c>
      <x:c r="B7" s="9" t="str">
        <x:v>Security</x:v>
      </x:c>
      <x:c r="C7" s="9" t="str">
        <x:v>Complete security review</x:v>
      </x:c>
      <x:c r="D7" s="9" t="str">
        <x:v>Security Analyst</x:v>
      </x:c>
      <x:c r="E7" s="9" t="str">
        <x:v>Critical</x:v>
      </x:c>
      <x:c r="F7" s="9" t="str">
        <x:v>Complete</x:v>
      </x:c>
      <x:c r="G7" s="16" t="n">
        <x:v>46232</x:v>
      </x:c>
      <x:c r="H7" s="16" t="n">
        <x:v>46241</x:v>
      </x:c>
      <x:c r="I7" s="17" t="n">
        <x:v>1</x:v>
      </x:c>
      <x:c r="J7" s="9" t="str">
        <x:v>EC-004</x:v>
      </x:c>
      <x:c r="K7" s="9" t="n">
        <x:f>IF(F7="Complete",0,H7-TODAY())</x:f>
        <x:v>0</x:v>
      </x:c>
      <x:c r="L7" s="9" t="str">
        <x:f>IF(F7="Complete","Green",IF(H7&lt;TODAY(),"Red",IF(H7-TODAY()&lt;=3,"Amber","Green")))</x:f>
        <x:v>Green</x:v>
      </x:c>
      <x:c r="M7" s="28" t="n">
        <x:f>IFERROR((MIN(TODAY(),H7)-G7)/(H7-G7),0)</x:f>
        <x:v>1</x:v>
      </x:c>
    </x:row>
    <x:row r="8">
      <x:c r="A8" s="9" t="str">
        <x:v>EC-007</x:v>
      </x:c>
      <x:c r="B8" s="9" t="str">
        <x:v>Operations</x:v>
      </x:c>
      <x:c r="C8" s="9" t="str">
        <x:v>Finalize support runbook</x:v>
      </x:c>
      <x:c r="D8" s="9" t="str">
        <x:v>Operations Lead</x:v>
      </x:c>
      <x:c r="E8" s="9" t="str">
        <x:v>Medium</x:v>
      </x:c>
      <x:c r="F8" s="9" t="str">
        <x:v>Complete</x:v>
      </x:c>
      <x:c r="G8" s="16" t="n">
        <x:v>46237</x:v>
      </x:c>
      <x:c r="H8" s="16" t="n">
        <x:v>46246</x:v>
      </x:c>
      <x:c r="I8" s="17" t="n">
        <x:v>1</x:v>
      </x:c>
      <x:c r="J8" s="9" t="str">
        <x:v>EC-005</x:v>
      </x:c>
      <x:c r="K8" s="9" t="n">
        <x:f>IF(F8="Complete",0,H8-TODAY())</x:f>
        <x:v>0</x:v>
      </x:c>
      <x:c r="L8" s="9" t="str">
        <x:f>IF(F8="Complete","Green",IF(H8&lt;TODAY(),"Red",IF(H8-TODAY()&lt;=3,"Amber","Green")))</x:f>
        <x:v>Green</x:v>
      </x:c>
      <x:c r="M8" s="28" t="n">
        <x:f>IFERROR((MIN(TODAY(),H8)-G8)/(H8-G8),0)</x:f>
        <x:v>1</x:v>
      </x:c>
    </x:row>
    <x:row r="9">
      <x:c r="A9" s="9" t="str">
        <x:v>EC-008</x:v>
      </x:c>
      <x:c r="B9" s="9" t="str">
        <x:v>Launch</x:v>
      </x:c>
      <x:c r="C9" s="9" t="str">
        <x:v>Go-live readiness review</x:v>
      </x:c>
      <x:c r="D9" s="9" t="str">
        <x:v>Project Coordinator</x:v>
      </x:c>
      <x:c r="E9" s="9" t="str">
        <x:v>Critical</x:v>
      </x:c>
      <x:c r="F9" s="9" t="str">
        <x:v>Complete</x:v>
      </x:c>
      <x:c r="G9" s="16" t="n">
        <x:v>46244</x:v>
      </x:c>
      <x:c r="H9" s="16" t="n">
        <x:v>46248</x:v>
      </x:c>
      <x:c r="I9" s="17" t="n">
        <x:v>1</x:v>
      </x:c>
      <x:c r="J9" s="9" t="str">
        <x:v>EC-005, EC-006, EC-007</x:v>
      </x:c>
      <x:c r="K9" s="9" t="n">
        <x:f>IF(F9="Complete",0,H9-TODAY())</x:f>
        <x:v>0</x:v>
      </x:c>
      <x:c r="L9" s="9" t="str">
        <x:f>IF(F9="Complete","Green",IF(H9&lt;TODAY(),"Red",IF(H9-TODAY()&lt;=3,"Amber","Green")))</x:f>
        <x:v>Green</x:v>
      </x:c>
      <x:c r="M9" s="28" t="n">
        <x:f>IFERROR((MIN(TODAY(),H9)-G9)/(H9-G9),0)</x:f>
        <x:v>1</x:v>
      </x:c>
    </x:row>
    <x:row r="10">
      <x:c r="A10" s="9" t="str">
        <x:v>EC-009</x:v>
      </x:c>
      <x:c r="B10" s="9" t="str">
        <x:v>Launch</x:v>
      </x:c>
      <x:c r="C10" s="9" t="str">
        <x:v>Production deployment</x:v>
      </x:c>
      <x:c r="D10" s="9" t="str">
        <x:v>Engineering Lead</x:v>
      </x:c>
      <x:c r="E10" s="9" t="str">
        <x:v>Critical</x:v>
      </x:c>
      <x:c r="F10" s="9" t="str">
        <x:v>Complete</x:v>
      </x:c>
      <x:c r="G10" s="16" t="n">
        <x:v>46251</x:v>
      </x:c>
      <x:c r="H10" s="16" t="n">
        <x:v>46251</x:v>
      </x:c>
      <x:c r="I10" s="17" t="n">
        <x:v>1</x:v>
      </x:c>
      <x:c r="J10" s="9" t="str">
        <x:v>EC-008</x:v>
      </x:c>
      <x:c r="K10" s="9" t="n">
        <x:f>IF(F10="Complete",0,H10-TODAY())</x:f>
        <x:v>0</x:v>
      </x:c>
      <x:c r="L10" s="9" t="str">
        <x:f>IF(F10="Complete","Green",IF(H10&lt;TODAY(),"Red",IF(H10-TODAY()&lt;=3,"Amber","Green")))</x:f>
        <x:v>Green</x:v>
      </x:c>
      <x:c r="M10" s="28" t="n">
        <x:f>IFERROR((MIN(TODAY(),H10)-G10)/(H10-G10),0)</x:f>
        <x:v>0</x:v>
      </x:c>
    </x:row>
    <x:row r="11">
      <x:c r="A11" s="9" t="str">
        <x:v>EC-010</x:v>
      </x:c>
      <x:c r="B11" s="9" t="str">
        <x:v>Post-Launch</x:v>
      </x:c>
      <x:c r="C11" s="9" t="str">
        <x:v>Hypercare issue monitoring</x:v>
      </x:c>
      <x:c r="D11" s="9" t="str">
        <x:v>Project Coordinator</x:v>
      </x:c>
      <x:c r="E11" s="9" t="str">
        <x:v>High</x:v>
      </x:c>
      <x:c r="F11" s="9" t="str">
        <x:v>Complete</x:v>
      </x:c>
      <x:c r="G11" s="16" t="n">
        <x:v>46252</x:v>
      </x:c>
      <x:c r="H11" s="16" t="n">
        <x:v>46262</x:v>
      </x:c>
      <x:c r="I11" s="17" t="n">
        <x:v>1</x:v>
      </x:c>
      <x:c r="J11" s="9" t="str">
        <x:v>EC-009</x:v>
      </x:c>
      <x:c r="K11" s="9" t="n">
        <x:f>IF(F11="Complete",0,H11-TODAY())</x:f>
        <x:v>0</x:v>
      </x:c>
      <x:c r="L11" s="9" t="str">
        <x:f>IF(F11="Complete","Green",IF(H11&lt;TODAY(),"Red",IF(H11-TODAY()&lt;=3,"Amber","Green")))</x:f>
        <x:v>Green</x:v>
      </x:c>
      <x:c r="M11" s="28" t="n">
        <x:f>IFERROR((MIN(TODAY(),H11)-G11)/(H11-G11),0)</x:f>
        <x:v>1</x:v>
      </x:c>
    </x:row>
  </x:sheetData>
  <x:conditionalFormatting sqref="I2:I50">
    <x:cfRule type="dataBar" priority="1">
      <x:dataBar>
        <x:cfvo type="min"/>
        <x:cfvo type="max"/>
        <x:color rgb="FF2F75B5"/>
      </x:dataBar>
      <x:extLst>
        <x:ext xmlns:x14="http://schemas.microsoft.com/office/spreadsheetml/2009/9/main" uri="{B025F937-C7B1-47D3-B67F-A62EFF666E3E}">
          <x14:id>{7A1FB9DA-A605-5914-0D4E-AB76FA109C93}</x14:id>
        </x:ext>
      </x:extLst>
    </x:cfRule>
  </x:conditionalFormatting>
  <x:dataValidations count="3">
    <x:dataValidation type="list" sqref="E2:E50">
      <x:formula1>"Low,Medium,High,Critical"</x:formula1>
    </x:dataValidation>
    <x:dataValidation type="list" sqref="F2:F50">
      <x:formula1>"Not Started,In Progress,Blocked,Complete"</x:formula1>
    </x:dataValidation>
    <x:dataValidation type="list" sqref="L2:L50">
      <x:formula1>"Green,Amber,Red"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a0365ba73d4ea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A1FB9DA-A605-5914-0D4E-AB76FA109C93}">
            <x14:dataBar gradient="1">
              <x14:cfvo type="min"/>
              <x14:cfvo type="max"/>
              <x14:fillColor rgb="FF2F75B5"/>
            </x14:dataBar>
          </x14:cfRule>
          <xm:sqref>I2:I50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9.880000114440918" hidden="0" customWidth="1"/>
    <x:col min="3" max="3" width="32" hidden="0" customWidth="1"/>
    <x:col min="4" max="4" width="8.380000114440918" hidden="0" customWidth="1"/>
    <x:col min="5" max="5" width="11.380000114440918" hidden="0" customWidth="1"/>
    <x:col min="6" max="6" width="7.25" hidden="0" customWidth="1"/>
    <x:col min="7" max="7" width="13.25" hidden="0" customWidth="1"/>
    <x:col min="8" max="8" width="40" hidden="0" customWidth="1"/>
    <x:col min="9" max="9" width="11.75" hidden="0" customWidth="1"/>
    <x:col min="10" max="10" width="7.75" hidden="0" customWidth="1"/>
    <x:col min="11" max="11" width="10.75" hidden="0" customWidth="1"/>
  </x:cols>
  <x:sheetData>
    <x:row r="1">
      <x:c r="A1" s="3" t="str">
        <x:v>RAID ID</x:v>
      </x:c>
      <x:c r="B1" s="3" t="str">
        <x:v>Type</x:v>
      </x:c>
      <x:c r="C1" s="3" t="str">
        <x:v>Description</x:v>
      </x:c>
      <x:c r="D1" s="3" t="str">
        <x:v>Impact</x:v>
      </x:c>
      <x:c r="E1" s="3" t="str">
        <x:v>Probability</x:v>
      </x:c>
      <x:c r="F1" s="3" t="str">
        <x:v>Score</x:v>
      </x:c>
      <x:c r="G1" s="3" t="str">
        <x:v>Owner</x:v>
      </x:c>
      <x:c r="H1" s="3" t="str">
        <x:v>Response / Mitigation</x:v>
      </x:c>
      <x:c r="I1" s="3" t="str">
        <x:v>Target Date</x:v>
      </x:c>
      <x:c r="J1" s="3" t="str">
        <x:v>Status</x:v>
      </x:c>
      <x:c r="K1" s="3" t="str">
        <x:v>Escalation</x:v>
      </x:c>
      <x:c r="L1" s="46" t="str">
        <x:v>Days to Target</x:v>
      </x:c>
      <x:c r="M1" s="46" t="str">
        <x:v>Risk Level</x:v>
      </x:c>
    </x:row>
    <x:row r="2">
      <x:c r="A2" t="str">
        <x:v>R-01</x:v>
      </x:c>
      <x:c r="B2" t="str">
        <x:v>Risk</x:v>
      </x:c>
      <x:c r="C2" t="str">
        <x:v>Payment gateway certification could delay launch</x:v>
      </x:c>
      <x:c r="D2" t="n">
        <x:v>5</x:v>
      </x:c>
      <x:c r="E2" t="n">
        <x:v>3</x:v>
      </x:c>
      <x:c r="F2" t="n">
        <x:f>D2*E2</x:f>
        <x:v>15</x:v>
      </x:c>
      <x:c r="G2" t="str">
        <x:v>Engineering Lead</x:v>
      </x:c>
      <x:c r="H2" t="str">
        <x:v>Complete certification in staging; maintain backup processor</x:v>
      </x:c>
      <x:c r="I2" s="12" t="n">
        <x:v>46241</x:v>
      </x:c>
      <x:c r="J2" t="str">
        <x:v>Closed</x:v>
      </x:c>
      <x:c r="K2" t="str">
        <x:v>No</x:v>
      </x:c>
      <x:c r="L2" t="n">
        <x:f>IF(OR(J2="Closed",J2="Complete",J2="Validated"),0,I2-TODAY())</x:f>
        <x:v>0</x:v>
      </x:c>
      <x:c r="M2" t="str">
        <x:f>IF(F2&gt;=15,"Critical",IF(F2&gt;=10,"High",IF(F2&gt;=5,"Medium","Low")))</x:f>
        <x:v>Critical</x:v>
      </x:c>
    </x:row>
    <x:row r="3">
      <x:c r="A3" t="str">
        <x:v>R-02</x:v>
      </x:c>
      <x:c r="B3" t="str">
        <x:v>Risk</x:v>
      </x:c>
      <x:c r="C3" t="str">
        <x:v>Catalog data quality may create incorrect product listings</x:v>
      </x:c>
      <x:c r="D3" t="n">
        <x:v>4</x:v>
      </x:c>
      <x:c r="E3" t="n">
        <x:v>3</x:v>
      </x:c>
      <x:c r="F3" t="n">
        <x:f>D3*E3</x:f>
        <x:v>12</x:v>
      </x:c>
      <x:c r="G3" t="str">
        <x:v>Product Lead</x:v>
      </x:c>
      <x:c r="H3" t="str">
        <x:v>Run validation rules and sample audit before UAT</x:v>
      </x:c>
      <x:c r="I3" s="12" t="n">
        <x:v>46234</x:v>
      </x:c>
      <x:c r="J3" t="str">
        <x:v>Closed</x:v>
      </x:c>
      <x:c r="K3" t="str">
        <x:v>No</x:v>
      </x:c>
      <x:c r="L3" t="n">
        <x:f>IF(OR(J3="Closed",J3="Complete",J3="Validated"),0,I3-TODAY())</x:f>
        <x:v>0</x:v>
      </x:c>
      <x:c r="M3" t="str">
        <x:f>IF(F3&gt;=15,"Critical",IF(F3&gt;=10,"High",IF(F3&gt;=5,"Medium","Low")))</x:f>
        <x:v>High</x:v>
      </x:c>
    </x:row>
    <x:row r="4">
      <x:c r="A4" t="str">
        <x:v>I-01</x:v>
      </x:c>
      <x:c r="B4" t="str">
        <x:v>Issue</x:v>
      </x:c>
      <x:c r="C4" t="str">
        <x:v>Three checkout defects found during UAT</x:v>
      </x:c>
      <x:c r="D4" t="n">
        <x:v>5</x:v>
      </x:c>
      <x:c r="E4" t="n">
        <x:v>4</x:v>
      </x:c>
      <x:c r="F4" t="n">
        <x:f>D4*E4</x:f>
        <x:v>20</x:v>
      </x:c>
      <x:c r="G4" t="str">
        <x:v>QA Lead</x:v>
      </x:c>
      <x:c r="H4" t="str">
        <x:v>Daily defect triage; critical defects fixed before readiness review</x:v>
      </x:c>
      <x:c r="I4" s="12" t="n">
        <x:v>46244</x:v>
      </x:c>
      <x:c r="J4" t="str">
        <x:v>Closed</x:v>
      </x:c>
      <x:c r="K4" t="str">
        <x:v>Yes</x:v>
      </x:c>
      <x:c r="L4" t="n">
        <x:f>IF(OR(J4="Closed",J4="Complete",J4="Validated"),0,I4-TODAY())</x:f>
        <x:v>0</x:v>
      </x:c>
      <x:c r="M4" t="str">
        <x:f>IF(F4&gt;=15,"Critical",IF(F4&gt;=10,"High",IF(F4&gt;=5,"Medium","Low")))</x:f>
        <x:v>Critical</x:v>
      </x:c>
    </x:row>
    <x:row r="5">
      <x:c r="A5" t="str">
        <x:v>A-01</x:v>
      </x:c>
      <x:c r="B5" t="str">
        <x:v>Assumption</x:v>
      </x:c>
      <x:c r="C5" t="str">
        <x:v>Support team available for launch-week hypercare</x:v>
      </x:c>
      <x:c r="D5" t="n">
        <x:v>3</x:v>
      </x:c>
      <x:c r="E5" t="n">
        <x:v>2</x:v>
      </x:c>
      <x:c r="F5" t="n">
        <x:f>D5*E5</x:f>
        <x:v>6</x:v>
      </x:c>
      <x:c r="G5" t="str">
        <x:v>Operations Lead</x:v>
      </x:c>
      <x:c r="H5" t="str">
        <x:v>Confirm staffing one week before launch</x:v>
      </x:c>
      <x:c r="I5" s="12" t="n">
        <x:v>46244</x:v>
      </x:c>
      <x:c r="J5" t="str">
        <x:v>Validated</x:v>
      </x:c>
      <x:c r="K5" t="str">
        <x:v>No</x:v>
      </x:c>
      <x:c r="L5" t="n">
        <x:f>IF(OR(J5="Closed",J5="Complete",J5="Validated"),0,I5-TODAY())</x:f>
        <x:v>0</x:v>
      </x:c>
      <x:c r="M5" t="str">
        <x:f>IF(F5&gt;=15,"Critical",IF(F5&gt;=10,"High",IF(F5&gt;=5,"Medium","Low")))</x:f>
        <x:v>Medium</x:v>
      </x:c>
    </x:row>
    <x:row r="6">
      <x:c r="A6" t="str">
        <x:v>D-01</x:v>
      </x:c>
      <x:c r="B6" t="str">
        <x:v>Dependency</x:v>
      </x:c>
      <x:c r="C6" t="str">
        <x:v>Security sign-off required before production deployment</x:v>
      </x:c>
      <x:c r="D6" t="n">
        <x:v>5</x:v>
      </x:c>
      <x:c r="E6" t="n">
        <x:v>4</x:v>
      </x:c>
      <x:c r="F6" t="n">
        <x:f>D6*E6</x:f>
        <x:v>20</x:v>
      </x:c>
      <x:c r="G6" t="str">
        <x:v>Security Analyst</x:v>
      </x:c>
      <x:c r="H6" t="str">
        <x:v>Reserve review window and track evidence package</x:v>
      </x:c>
      <x:c r="I6" s="12" t="n">
        <x:v>46241</x:v>
      </x:c>
      <x:c r="J6" t="str">
        <x:v>Complete</x:v>
      </x:c>
      <x:c r="K6" t="str">
        <x:v>Yes</x:v>
      </x:c>
      <x:c r="L6" t="n">
        <x:f>IF(OR(J6="Closed",J6="Complete",J6="Validated"),0,I6-TODAY())</x:f>
        <x:v>0</x:v>
      </x:c>
      <x:c r="M6" t="str">
        <x:f>IF(F6&gt;=15,"Critical",IF(F6&gt;=10,"High",IF(F6&gt;=5,"Medium","Low")))</x:f>
        <x:v>Critical</x:v>
      </x:c>
    </x:row>
  </x:sheetData>
  <x:conditionalFormatting sqref="F2:F50">
    <x:cfRule type="colorScale" priority="1">
      <x:colorScale>
        <x:cfvo type="min"/>
        <x:cfvo type="percentile" val="50"/>
        <x:cfvo type="max"/>
        <x:color rgb="FFC6E0B4"/>
        <x:color rgb="FFFFE699"/>
        <x:color rgb="FFF4B084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18d24f1509e4ac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3.25" hidden="0" customWidth="1"/>
    <x:col min="2" max="2" width="13.5" hidden="0" customWidth="1"/>
    <x:col min="3" max="3" width="11.880000114440918" hidden="0" customWidth="1"/>
    <x:col min="4" max="4" width="7.75" hidden="0" customWidth="1"/>
    <x:col min="5" max="5" width="13.630000114440918" hidden="0" customWidth="1"/>
    <x:col min="6" max="6" width="30" hidden="0" customWidth="1"/>
    <x:col min="7" max="7" width="15.130000114440918" hidden="0" customWidth="1"/>
  </x:cols>
  <x:sheetData>
    <x:row r="1">
      <x:c r="A1" s="3" t="str">
        <x:v>Milestone</x:v>
      </x:c>
      <x:c r="B1" s="3" t="str">
        <x:v>Baseline Date</x:v>
      </x:c>
      <x:c r="C1" s="3" t="str">
        <x:v>Actual Date</x:v>
      </x:c>
      <x:c r="D1" s="3" t="str">
        <x:v>Status</x:v>
      </x:c>
      <x:c r="E1" s="3" t="str">
        <x:v>Days Variance</x:v>
      </x:c>
      <x:c r="F1" s="3" t="str">
        <x:v>Exit Criteria</x:v>
      </x:c>
      <x:c r="G1" s="3" t="str">
        <x:v>Owner</x:v>
      </x:c>
      <x:c r="H1" s="46" t="str">
        <x:v>On-Time?</x:v>
      </x:c>
      <x:c r="I1" s="46" t="str">
        <x:v>Schedule Performance</x:v>
      </x:c>
    </x:row>
    <x:row r="2">
      <x:c r="A2" t="str">
        <x:v>Charter Approved</x:v>
      </x:c>
      <x:c r="B2" s="12" t="n">
        <x:v>46211</x:v>
      </x:c>
      <x:c r="C2" s="12" t="n">
        <x:v>46211</x:v>
      </x:c>
      <x:c r="D2" t="str">
        <x:v>Complete</x:v>
      </x:c>
      <x:c r="E2" t="n">
        <x:f>IF(C2="","",C2-B2)</x:f>
        <x:v>0</x:v>
      </x:c>
      <x:c r="F2" t="str">
        <x:v>Sponsor approval received</x:v>
      </x:c>
      <x:c r="G2" t="str">
        <x:v>Project Coordinator</x:v>
      </x:c>
      <x:c r="H2" t="str">
        <x:f>IF(C2="","Pending",IF(C2&lt;=B2,"Yes","No"))</x:f>
        <x:v>Yes</x:v>
      </x:c>
      <x:c r="I2" t="str">
        <x:f>IF(C2="","",IF(E2&lt;=0,"On/Ahead",IF(E2&lt;=2,"Minor Delay","Delayed")))</x:f>
        <x:v>On/Ahead</x:v>
      </x:c>
    </x:row>
    <x:row r="3">
      <x:c r="A3" t="str">
        <x:v>Storefront Build Complete</x:v>
      </x:c>
      <x:c r="B3" s="12" t="n">
        <x:v>46227</x:v>
      </x:c>
      <x:c r="C3" s="12" t="n">
        <x:v>46226</x:v>
      </x:c>
      <x:c r="D3" t="str">
        <x:v>Complete</x:v>
      </x:c>
      <x:c r="E3" t="n">
        <x:f>IF(C3="","",C3-B3)</x:f>
        <x:v>-1</x:v>
      </x:c>
      <x:c r="F3" t="str">
        <x:v>Core storefront features complete</x:v>
      </x:c>
      <x:c r="G3" t="str">
        <x:v>Engineering Lead</x:v>
      </x:c>
      <x:c r="H3" t="str">
        <x:f>IF(C3="","Pending",IF(C3&lt;=B3,"Yes","No"))</x:f>
        <x:v>Yes</x:v>
      </x:c>
      <x:c r="I3" t="str">
        <x:f>IF(C3="","",IF(E3&lt;=0,"On/Ahead",IF(E3&lt;=2,"Minor Delay","Delayed")))</x:f>
        <x:v>On/Ahead</x:v>
      </x:c>
    </x:row>
    <x:row r="4">
      <x:c r="A4" t="str">
        <x:v>Payment Integration Complete</x:v>
      </x:c>
      <x:c r="B4" s="12" t="n">
        <x:v>46234</x:v>
      </x:c>
      <x:c r="C4" s="12" t="n">
        <x:v>46235</x:v>
      </x:c>
      <x:c r="D4" t="str">
        <x:v>Complete</x:v>
      </x:c>
      <x:c r="E4" t="n">
        <x:f>IF(C4="","",C4-B4)</x:f>
        <x:v>1</x:v>
      </x:c>
      <x:c r="F4" t="str">
        <x:v>Successful sandbox transactions</x:v>
      </x:c>
      <x:c r="G4" t="str">
        <x:v>Engineering Lead</x:v>
      </x:c>
      <x:c r="H4" t="str">
        <x:f>IF(C4="","Pending",IF(C4&lt;=B4,"Yes","No"))</x:f>
        <x:v>No</x:v>
      </x:c>
      <x:c r="I4" t="str">
        <x:f>IF(C4="","",IF(E4&lt;=0,"On/Ahead",IF(E4&lt;=2,"Minor Delay","Delayed")))</x:f>
        <x:v>Minor Delay</x:v>
      </x:c>
    </x:row>
    <x:row r="5">
      <x:c r="A5" t="str">
        <x:v>UAT Complete</x:v>
      </x:c>
      <x:c r="B5" s="12" t="n">
        <x:v>46241</x:v>
      </x:c>
      <x:c r="C5" s="12" t="n">
        <x:v>46242</x:v>
      </x:c>
      <x:c r="D5" t="str">
        <x:v>Complete</x:v>
      </x:c>
      <x:c r="E5" t="n">
        <x:f>IF(C5="","",C5-B5)</x:f>
        <x:v>1</x:v>
      </x:c>
      <x:c r="F5" t="str">
        <x:v>Critical defects resolved</x:v>
      </x:c>
      <x:c r="G5" t="str">
        <x:v>QA Lead</x:v>
      </x:c>
      <x:c r="H5" t="str">
        <x:f>IF(C5="","Pending",IF(C5&lt;=B5,"Yes","No"))</x:f>
        <x:v>No</x:v>
      </x:c>
      <x:c r="I5" t="str">
        <x:f>IF(C5="","",IF(E5&lt;=0,"On/Ahead",IF(E5&lt;=2,"Minor Delay","Delayed")))</x:f>
        <x:v>Minor Delay</x:v>
      </x:c>
    </x:row>
    <x:row r="6">
      <x:c r="A6" t="str">
        <x:v>Go-Live Readiness</x:v>
      </x:c>
      <x:c r="B6" s="12" t="n">
        <x:v>46248</x:v>
      </x:c>
      <x:c r="C6" s="12" t="n">
        <x:v>46248</x:v>
      </x:c>
      <x:c r="D6" t="str">
        <x:v>Complete</x:v>
      </x:c>
      <x:c r="E6" t="n">
        <x:f>IF(C6="","",C6-B6)</x:f>
        <x:v>0</x:v>
      </x:c>
      <x:c r="F6" t="str">
        <x:v>All launch criteria approved</x:v>
      </x:c>
      <x:c r="G6" t="str">
        <x:v>Project Coordinator</x:v>
      </x:c>
      <x:c r="H6" t="str">
        <x:f>IF(C6="","Pending",IF(C6&lt;=B6,"Yes","No"))</x:f>
        <x:v>Yes</x:v>
      </x:c>
      <x:c r="I6" t="str">
        <x:f>IF(C6="","",IF(E6&lt;=0,"On/Ahead",IF(E6&lt;=2,"Minor Delay","Delayed")))</x:f>
        <x:v>On/Ahead</x:v>
      </x:c>
    </x:row>
    <x:row r="7">
      <x:c r="A7" t="str">
        <x:v>Production Launch</x:v>
      </x:c>
      <x:c r="B7" s="12" t="n">
        <x:v>46251</x:v>
      </x:c>
      <x:c r="C7" s="12" t="n">
        <x:v>46251</x:v>
      </x:c>
      <x:c r="D7" t="str">
        <x:v>Complete</x:v>
      </x:c>
      <x:c r="E7" t="n">
        <x:f>IF(C7="","",C7-B7)</x:f>
        <x:v>0</x:v>
      </x:c>
      <x:c r="F7" t="str">
        <x:v>Deployment validated</x:v>
      </x:c>
      <x:c r="G7" t="str">
        <x:v>Engineering Lead</x:v>
      </x:c>
      <x:c r="H7" t="str">
        <x:f>IF(C7="","Pending",IF(C7&lt;=B7,"Yes","No"))</x:f>
        <x:v>Yes</x:v>
      </x:c>
      <x:c r="I7" t="str">
        <x:f>IF(C7="","",IF(E7&lt;=0,"On/Ahead",IF(E7&lt;=2,"Minor Delay","Delayed")))</x:f>
        <x:v>On/Ahead</x:v>
      </x:c>
    </x:row>
  </x:sheetData>
  <x:pageMargins left="0.7" right="0.7" top="0.75" bottom="0.75" header="0.3" footer="0.3"/>
  <x:tableParts count="1">
    <x:tablePart xmlns:r="http://schemas.openxmlformats.org/officeDocument/2006/relationships" r:id="R3f27b031a2ee421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.25" hidden="0" customWidth="1"/>
    <x:col min="3" max="3" width="13.380000114440918" hidden="0" customWidth="1"/>
    <x:col min="4" max="4" width="9.630000114440918" hidden="0" customWidth="1"/>
    <x:col min="5" max="5" width="11.380000114440918" hidden="0" customWidth="1"/>
    <x:col min="6" max="6" width="20.6299991607666" hidden="0" customWidth="1"/>
    <x:col min="7" max="7" width="30" hidden="0" customWidth="1"/>
  </x:cols>
  <x:sheetData>
    <x:row r="1">
      <x:c r="A1" s="3" t="str">
        <x:v>Category</x:v>
      </x:c>
      <x:c r="B1" s="3" t="str">
        <x:v>Baseline Budget</x:v>
      </x:c>
      <x:c r="C1" s="3" t="str">
        <x:v>Actual Cost</x:v>
      </x:c>
      <x:c r="D1" s="3" t="str">
        <x:v>Variance</x:v>
      </x:c>
      <x:c r="E1" s="3" t="str">
        <x:v>Variance %</x:v>
      </x:c>
      <x:c r="F1" s="3" t="str">
        <x:v>Forecast at Completion</x:v>
      </x:c>
      <x:c r="G1" s="3" t="str">
        <x:v>Notes</x:v>
      </x:c>
    </x:row>
    <x:row r="2">
      <x:c r="A2" t="str">
        <x:v>Platform Development</x:v>
      </x:c>
      <x:c r="B2" s="24" t="n">
        <x:v>42000</x:v>
      </x:c>
      <x:c r="C2" s="24" t="n">
        <x:v>40500</x:v>
      </x:c>
      <x:c r="D2" s="24" t="n">
        <x:f>B2-C2</x:f>
        <x:v>1500</x:v>
      </x:c>
      <x:c r="E2" s="28" t="n">
        <x:f>IFERROR(D2/B2,0)</x:f>
        <x:v>0.03571428571428571</x:v>
      </x:c>
      <x:c r="F2" t="n">
        <x:f>C2</x:f>
        <x:v>40500</x:v>
      </x:c>
      <x:c r="G2" t="str">
        <x:v>Completed below baseline</x:v>
      </x:c>
    </x:row>
    <x:row r="3">
      <x:c r="A3" t="str">
        <x:v>Payment Integration</x:v>
      </x:c>
      <x:c r="B3" s="24" t="n">
        <x:v>12000</x:v>
      </x:c>
      <x:c r="C3" s="24" t="n">
        <x:v>12800</x:v>
      </x:c>
      <x:c r="D3" s="24" t="n">
        <x:f>B3-C3</x:f>
        <x:v>-800</x:v>
      </x:c>
      <x:c r="E3" s="28" t="n">
        <x:f>IFERROR(D3/B3,0)</x:f>
        <x:v>-0.06666666666666667</x:v>
      </x:c>
      <x:c r="F3" t="n">
        <x:f>C3</x:f>
        <x:v>12800</x:v>
      </x:c>
      <x:c r="G3" t="str">
        <x:v>Certification support increased cost</x:v>
      </x:c>
    </x:row>
    <x:row r="4">
      <x:c r="A4" t="str">
        <x:v>QA &amp; Testing</x:v>
      </x:c>
      <x:c r="B4" s="24" t="n">
        <x:v>16000</x:v>
      </x:c>
      <x:c r="C4" s="24" t="n">
        <x:v>15750</x:v>
      </x:c>
      <x:c r="D4" s="24" t="n">
        <x:f>B4-C4</x:f>
        <x:v>250</x:v>
      </x:c>
      <x:c r="E4" s="28" t="n">
        <x:f>IFERROR(D4/B4,0)</x:f>
        <x:v>0.015625</x:v>
      </x:c>
      <x:c r="F4" t="n">
        <x:f>C4</x:f>
        <x:v>15750</x:v>
      </x:c>
      <x:c r="G4" t="str">
        <x:v>Within plan</x:v>
      </x:c>
    </x:row>
    <x:row r="5">
      <x:c r="A5" t="str">
        <x:v>Security Review</x:v>
      </x:c>
      <x:c r="B5" s="24" t="n">
        <x:v>9000</x:v>
      </x:c>
      <x:c r="C5" s="24" t="n">
        <x:v>9000</x:v>
      </x:c>
      <x:c r="D5" s="24" t="n">
        <x:f>B5-C5</x:f>
        <x:v>0</x:v>
      </x:c>
      <x:c r="E5" s="28" t="n">
        <x:f>IFERROR(D5/B5,0)</x:f>
        <x:v>0</x:v>
      </x:c>
      <x:c r="F5" t="n">
        <x:f>C5</x:f>
        <x:v>9000</x:v>
      </x:c>
      <x:c r="G5" t="str">
        <x:v>On budget</x:v>
      </x:c>
    </x:row>
    <x:row r="6">
      <x:c r="A6" t="str">
        <x:v>Launch &amp; Hypercare</x:v>
      </x:c>
      <x:c r="B6" s="24" t="n">
        <x:v>11000</x:v>
      </x:c>
      <x:c r="C6" s="24" t="n">
        <x:v>10400</x:v>
      </x:c>
      <x:c r="D6" s="24" t="n">
        <x:f>B6-C6</x:f>
        <x:v>600</x:v>
      </x:c>
      <x:c r="E6" s="28" t="n">
        <x:f>IFERROR(D6/B6,0)</x:f>
        <x:v>0.05454545454545454</x:v>
      </x:c>
      <x:c r="F6" t="n">
        <x:f>C6</x:f>
        <x:v>10400</x:v>
      </x:c>
      <x:c r="G6" t="str">
        <x:v>Lower support overtime</x:v>
      </x:c>
    </x:row>
    <x:row r="7">
      <x:c r="B7" s="24"/>
      <x:c r="C7" s="24"/>
      <x:c r="D7" s="24"/>
      <x:c r="E7" s="28"/>
    </x:row>
    <x:row r="8">
      <x:c r="A8" s="21" t="str">
        <x:v>Summary</x:v>
      </x:c>
      <x:c r="B8" s="25" t="str">
        <x:v>Baseline</x:v>
      </x:c>
      <x:c r="C8" s="25" t="str">
        <x:v>Actual / Forecast</x:v>
      </x:c>
      <x:c r="D8" s="24"/>
      <x:c r="E8" s="28"/>
    </x:row>
    <x:row r="9">
      <x:c r="A9" t="str">
        <x:v>Total</x:v>
      </x:c>
      <x:c r="B9" s="24" t="n">
        <x:f>SUM(B2:B6)</x:f>
        <x:v>90000</x:v>
      </x:c>
      <x:c r="C9" s="24" t="n">
        <x:f>SUM(C2:C6)</x:f>
        <x:v>88450</x:v>
      </x:c>
      <x:c r="D9" s="24" t="n">
        <x:f>B9-C9</x:f>
        <x:v>1550</x:v>
      </x:c>
      <x:c r="E9" s="28" t="n">
        <x:f>IFERROR(D9/B9,0)</x:f>
        <x:v>0.017222222222222222</x:v>
      </x:c>
      <x:c r="F9" t="n">
        <x:f>SUM(F2:F6)</x:f>
        <x:v>88450</x:v>
      </x:c>
    </x:row>
    <x:row r="10">
      <x:c r="A10" t="str">
        <x:v>Remaining Contingency</x:v>
      </x:c>
      <x:c r="B10" s="24" t="n">
        <x:v>5000</x:v>
      </x:c>
      <x:c r="C10" s="24" t="n">
        <x:f>B10+D9</x:f>
        <x:v>6550</x:v>
      </x:c>
      <x:c r="D10" s="24" t="n">
        <x:f>C10-B10</x:f>
        <x:v>1550</x:v>
      </x:c>
      <x:c r="E10" s="28"/>
    </x:row>
  </x:sheetData>
  <x:pageMargins left="0.7" right="0.7" top="0.75" bottom="0.75" header="0.3" footer="0.3"/>
  <x:tableParts count="1">
    <x:tablePart xmlns:r="http://schemas.openxmlformats.org/officeDocument/2006/relationships" r:id="R1194b00b7e9b41e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.5" hidden="0" customWidth="1"/>
    <x:col min="3" max="3" width="7.630000114440918" hidden="0" customWidth="1"/>
    <x:col min="4" max="4" width="6.5" hidden="0" customWidth="1"/>
    <x:col min="5" max="5" width="35" hidden="0" customWidth="1"/>
    <x:col min="6" max="6" width="12.880000114440918" hidden="0" customWidth="1"/>
    <x:col min="7" max="7" width="9.25" hidden="0" customWidth="1"/>
    <x:col min="8" max="8" width="11.5" hidden="0" customWidth="1"/>
  </x:cols>
  <x:sheetData>
    <x:row r="1">
      <x:c r="A1" s="3" t="str">
        <x:v>Deliverable / Decision</x:v>
      </x:c>
      <x:c r="B1" s="3" t="str">
        <x:v>Sponsor</x:v>
      </x:c>
      <x:c r="C1" s="3" t="str">
        <x:v>Project Coordinator</x:v>
      </x:c>
      <x:c r="D1" s="3" t="str">
        <x:v>Engineering Lead</x:v>
      </x:c>
      <x:c r="E1" s="3" t="str">
        <x:v>Product Lead</x:v>
      </x:c>
      <x:c r="F1" s="3" t="str">
        <x:v>QA Lead</x:v>
      </x:c>
      <x:c r="G1" s="3" t="str">
        <x:v>Security</x:v>
      </x:c>
      <x:c r="H1" s="3" t="str">
        <x:v>Operations</x:v>
      </x:c>
    </x:row>
    <x:row r="2">
      <x:c r="A2" t="str">
        <x:v>Project Charter</x:v>
      </x:c>
      <x:c r="B2" t="str">
        <x:v>A</x:v>
      </x:c>
      <x:c r="C2" t="str">
        <x:v>R</x:v>
      </x:c>
      <x:c r="D2" t="str">
        <x:v>C</x:v>
      </x:c>
      <x:c r="E2" t="str">
        <x:v>C</x:v>
      </x:c>
      <x:c r="F2" t="str">
        <x:v>I</x:v>
      </x:c>
      <x:c r="G2" t="str">
        <x:v>I</x:v>
      </x:c>
      <x:c r="H2" t="str">
        <x:v>I</x:v>
      </x:c>
    </x:row>
    <x:row r="3">
      <x:c r="A3" t="str">
        <x:v>Storefront Build</x:v>
      </x:c>
      <x:c r="B3" t="str">
        <x:v>I</x:v>
      </x:c>
      <x:c r="C3" t="str">
        <x:v>C</x:v>
      </x:c>
      <x:c r="D3" t="str">
        <x:v>A/R</x:v>
      </x:c>
      <x:c r="E3" t="str">
        <x:v>C</x:v>
      </x:c>
      <x:c r="F3" t="str">
        <x:v>C</x:v>
      </x:c>
      <x:c r="G3" t="str">
        <x:v>I</x:v>
      </x:c>
      <x:c r="H3" t="str">
        <x:v>I</x:v>
      </x:c>
    </x:row>
    <x:row r="4">
      <x:c r="A4" t="str">
        <x:v>Catalog Readiness</x:v>
      </x:c>
      <x:c r="B4" t="str">
        <x:v>I</x:v>
      </x:c>
      <x:c r="C4" t="str">
        <x:v>C</x:v>
      </x:c>
      <x:c r="D4" t="str">
        <x:v>C</x:v>
      </x:c>
      <x:c r="E4" t="str">
        <x:v>A/R</x:v>
      </x:c>
      <x:c r="F4" t="str">
        <x:v>C</x:v>
      </x:c>
      <x:c r="G4" t="str">
        <x:v>I</x:v>
      </x:c>
      <x:c r="H4" t="str">
        <x:v>I</x:v>
      </x:c>
    </x:row>
    <x:row r="5">
      <x:c r="A5" t="str">
        <x:v>Payment Integration</x:v>
      </x:c>
      <x:c r="B5" t="str">
        <x:v>I</x:v>
      </x:c>
      <x:c r="C5" t="str">
        <x:v>C</x:v>
      </x:c>
      <x:c r="D5" t="str">
        <x:v>A/R</x:v>
      </x:c>
      <x:c r="E5" t="str">
        <x:v>I</x:v>
      </x:c>
      <x:c r="F5" t="str">
        <x:v>C</x:v>
      </x:c>
      <x:c r="G5" t="str">
        <x:v>C</x:v>
      </x:c>
      <x:c r="H5" t="str">
        <x:v>I</x:v>
      </x:c>
    </x:row>
    <x:row r="6">
      <x:c r="A6" t="str">
        <x:v>UAT Sign-off</x:v>
      </x:c>
      <x:c r="B6" t="str">
        <x:v>I</x:v>
      </x:c>
      <x:c r="C6" t="str">
        <x:v>C</x:v>
      </x:c>
      <x:c r="D6" t="str">
        <x:v>C</x:v>
      </x:c>
      <x:c r="E6" t="str">
        <x:v>C</x:v>
      </x:c>
      <x:c r="F6" t="str">
        <x:v>A/R</x:v>
      </x:c>
      <x:c r="G6" t="str">
        <x:v>C</x:v>
      </x:c>
      <x:c r="H6" t="str">
        <x:v>I</x:v>
      </x:c>
    </x:row>
    <x:row r="7">
      <x:c r="A7" t="str">
        <x:v>Security Approval</x:v>
      </x:c>
      <x:c r="B7" t="str">
        <x:v>I</x:v>
      </x:c>
      <x:c r="C7" t="str">
        <x:v>C</x:v>
      </x:c>
      <x:c r="D7" t="str">
        <x:v>C</x:v>
      </x:c>
      <x:c r="E7" t="str">
        <x:v>I</x:v>
      </x:c>
      <x:c r="F7" t="str">
        <x:v>C</x:v>
      </x:c>
      <x:c r="G7" t="str">
        <x:v>A/R</x:v>
      </x:c>
      <x:c r="H7" t="str">
        <x:v>I</x:v>
      </x:c>
    </x:row>
    <x:row r="8">
      <x:c r="A8" t="str">
        <x:v>Go-Live Decision</x:v>
      </x:c>
      <x:c r="B8" t="str">
        <x:v>A</x:v>
      </x:c>
      <x:c r="C8" t="str">
        <x:v>R</x:v>
      </x:c>
      <x:c r="D8" t="str">
        <x:v>C</x:v>
      </x:c>
      <x:c r="E8" t="str">
        <x:v>C</x:v>
      </x:c>
      <x:c r="F8" t="str">
        <x:v>C</x:v>
      </x:c>
      <x:c r="G8" t="str">
        <x:v>C</x:v>
      </x:c>
      <x:c r="H8" t="str">
        <x:v>C</x:v>
      </x:c>
    </x:row>
    <x:row r="9">
      <x:c r="A9" t="str">
        <x:v>Hypercare</x:v>
      </x:c>
      <x:c r="B9" t="str">
        <x:v>I</x:v>
      </x:c>
      <x:c r="C9" t="str">
        <x:v>R</x:v>
      </x:c>
      <x:c r="D9" t="str">
        <x:v>C</x:v>
      </x:c>
      <x:c r="E9" t="str">
        <x:v>I</x:v>
      </x:c>
      <x:c r="F9" t="str">
        <x:v>C</x:v>
      </x:c>
      <x:c r="G9" t="str">
        <x:v>I</x:v>
      </x:c>
      <x:c r="H9" t="str">
        <x:v>A</x:v>
      </x:c>
    </x:row>
    <x:row r="12">
      <x:c r="A12" s="21" t="str">
        <x:v>Stakeholder</x:v>
      </x:c>
      <x:c r="B12" s="21" t="str">
        <x:v>Role</x:v>
      </x:c>
      <x:c r="C12" s="21" t="str">
        <x:v>Influence</x:v>
      </x:c>
      <x:c r="D12" s="21" t="str">
        <x:v>Interest</x:v>
      </x:c>
      <x:c r="E12" s="21" t="str">
        <x:v>Engagement Strategy</x:v>
      </x:c>
      <x:c r="F12" s="21" t="str">
        <x:v>Cadence</x:v>
      </x:c>
    </x:row>
    <x:row r="13">
      <x:c r="A13" t="str">
        <x:v>Executive Sponsor</x:v>
      </x:c>
      <x:c r="B13" t="str">
        <x:v>Decision maker</x:v>
      </x:c>
      <x:c r="C13" t="str">
        <x:v>High</x:v>
      </x:c>
      <x:c r="D13" t="str">
        <x:v>High</x:v>
      </x:c>
      <x:c r="E13" t="str">
        <x:v>Concise status, risks, decisions needed</x:v>
      </x:c>
      <x:c r="F13" t="str">
        <x:v>Weekly</x:v>
      </x:c>
    </x:row>
    <x:row r="14">
      <x:c r="A14" t="str">
        <x:v>Engineering Lead</x:v>
      </x:c>
      <x:c r="B14" t="str">
        <x:v>Delivery owner</x:v>
      </x:c>
      <x:c r="C14" t="str">
        <x:v>High</x:v>
      </x:c>
      <x:c r="D14" t="str">
        <x:v>High</x:v>
      </x:c>
      <x:c r="E14" t="str">
        <x:v>Daily blockers and dependency review</x:v>
      </x:c>
      <x:c r="F14" t="str">
        <x:v>Daily</x:v>
      </x:c>
    </x:row>
    <x:row r="15">
      <x:c r="A15" t="str">
        <x:v>Product Lead</x:v>
      </x:c>
      <x:c r="B15" t="str">
        <x:v>Business readiness</x:v>
      </x:c>
      <x:c r="C15" t="str">
        <x:v>High</x:v>
      </x:c>
      <x:c r="D15" t="str">
        <x:v>High</x:v>
      </x:c>
      <x:c r="E15" t="str">
        <x:v>Scope and acceptance alignment</x:v>
      </x:c>
      <x:c r="F15" t="str">
        <x:v>2x weekly</x:v>
      </x:c>
    </x:row>
    <x:row r="16">
      <x:c r="A16" t="str">
        <x:v>QA Lead</x:v>
      </x:c>
      <x:c r="B16" t="str">
        <x:v>Quality owner</x:v>
      </x:c>
      <x:c r="C16" t="str">
        <x:v>Medium</x:v>
      </x:c>
      <x:c r="D16" t="str">
        <x:v>High</x:v>
      </x:c>
      <x:c r="E16" t="str">
        <x:v>Defect and test progress review</x:v>
      </x:c>
      <x:c r="F16" t="str">
        <x:v>Daily during UAT</x:v>
      </x:c>
    </x:row>
    <x:row r="17">
      <x:c r="A17" t="str">
        <x:v>Operations Lead</x:v>
      </x:c>
      <x:c r="B17" t="str">
        <x:v>Support readiness</x:v>
      </x:c>
      <x:c r="C17" t="str">
        <x:v>Medium</x:v>
      </x:c>
      <x:c r="D17" t="str">
        <x:v>High</x:v>
      </x:c>
      <x:c r="E17" t="str">
        <x:v>Runbook and hypercare readiness</x:v>
      </x:c>
      <x:c r="F17" t="str">
        <x:v>Weekly</x:v>
      </x:c>
    </x:row>
  </x:sheetData>
  <x:pageMargins left="0.7" right="0.7" top="0.75" bottom="0.75" header="0.3" footer="0.3"/>
  <x:tableParts count="1">
    <x:tablePart xmlns:r="http://schemas.openxmlformats.org/officeDocument/2006/relationships" r:id="R10225fc10a79416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.75" hidden="0" customWidth="1"/>
    <x:col min="2" max="2" width="30" hidden="0" customWidth="1"/>
    <x:col min="3" max="3" width="30" hidden="0" customWidth="1"/>
    <x:col min="4" max="4" width="30" hidden="0" customWidth="1"/>
    <x:col min="5" max="5" width="22.8799991607666" hidden="0" customWidth="1"/>
    <x:col min="6" max="6" width="13.5" hidden="0" customWidth="1"/>
    <x:col min="7" max="7" width="14" hidden="0" customWidth="1"/>
  </x:cols>
  <x:sheetData>
    <x:row r="1">
      <x:c r="A1" s="3" t="str">
        <x:v>Change ID</x:v>
      </x:c>
      <x:c r="B1" s="3" t="str">
        <x:v>Request</x:v>
      </x:c>
      <x:c r="C1" s="3" t="str">
        <x:v>Reason</x:v>
      </x:c>
      <x:c r="D1" s="3" t="str">
        <x:v>Impact</x:v>
      </x:c>
      <x:c r="E1" s="3" t="str">
        <x:v>Decision</x:v>
      </x:c>
      <x:c r="F1" s="3" t="str">
        <x:v>Decision Date</x:v>
      </x:c>
      <x:c r="G1" s="3" t="str">
        <x:v>Owner</x:v>
      </x:c>
    </x:row>
    <x:row r="2">
      <x:c r="A2" t="str">
        <x:v>CR-01</x:v>
      </x:c>
      <x:c r="B2" t="str">
        <x:v>Add guest checkout</x:v>
      </x:c>
      <x:c r="C2" t="str">
        <x:v>Reduce purchase friction</x:v>
      </x:c>
      <x:c r="D2" t="str">
        <x:v>+3 dev days; no launch-date change</x:v>
      </x:c>
      <x:c r="E2" t="str">
        <x:v>Approved</x:v>
      </x:c>
      <x:c r="F2" s="12" t="n">
        <x:v>46223</x:v>
      </x:c>
      <x:c r="G2" t="str">
        <x:v>Product Lead</x:v>
      </x:c>
    </x:row>
    <x:row r="3">
      <x:c r="A3" t="str">
        <x:v>CR-02</x:v>
      </x:c>
      <x:c r="B3" t="str">
        <x:v>Add second payment processor</x:v>
      </x:c>
      <x:c r="C3" t="str">
        <x:v>Resilience improvement</x:v>
      </x:c>
      <x:c r="D3" t="str">
        <x:v>Would add 2 weeks</x:v>
      </x:c>
      <x:c r="E3" t="str">
        <x:v>Deferred</x:v>
      </x:c>
      <x:c r="F3" s="12" t="n">
        <x:v>46231</x:v>
      </x:c>
      <x:c r="G3" t="str">
        <x:v>Executive Sponsor</x:v>
      </x:c>
    </x:row>
    <x:row r="4">
      <x:c r="A4" t="str">
        <x:v>CR-03</x:v>
      </x:c>
      <x:c r="B4" t="str">
        <x:v>Expand launch catalog by 500 SKUs</x:v>
      </x:c>
      <x:c r="C4" t="str">
        <x:v>Commercial request</x:v>
      </x:c>
      <x:c r="D4" t="str">
        <x:v>Higher data-quality risk</x:v>
      </x:c>
      <x:c r="E4" t="str">
        <x:v>Approved with phased upload</x:v>
      </x:c>
      <x:c r="F4" s="12" t="n">
        <x:v>46237</x:v>
      </x:c>
      <x:c r="G4" t="str">
        <x:v>Product Lead</x:v>
      </x:c>
    </x:row>
  </x:sheetData>
  <x:pageMargins left="0.7" right="0.7" top="0.75" bottom="0.75" header="0.3" footer="0.3"/>
  <x:tableParts count="1">
    <x:tablePart xmlns:r="http://schemas.openxmlformats.org/officeDocument/2006/relationships" r:id="Rfc0f743153ca485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0" customHeight="1">
      <x:c r="A1" s="48" t="str">
        <x:v>E-Commerce Platform Launch | Executive Project Dashboard</x:v>
      </x:c>
      <x:c r="B1" s="48"/>
      <x:c r="C1" s="48"/>
      <x:c r="D1" s="48"/>
      <x:c r="E1" s="48"/>
      <x:c r="F1" s="48"/>
      <x:c r="G1" s="48"/>
      <x:c r="H1" s="48"/>
      <x:c r="I1" s="48"/>
      <x:c r="J1" s="9"/>
      <x:c r="K1" s="9"/>
      <x:c r="L1" s="9"/>
    </x:row>
    <x:row r="2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</x:row>
    <x:row r="4">
      <x:c r="A4" s="60" t="str">
        <x:v>KPI</x:v>
      </x:c>
      <x:c r="B4" s="61" t="str">
        <x:v>Value</x:v>
      </x:c>
      <x:c r="C4" s="9"/>
      <x:c r="D4" s="60" t="str">
        <x:v>Delivery Health</x:v>
      </x:c>
      <x:c r="E4" s="61" t="str">
        <x:v>Value</x:v>
      </x:c>
      <x:c r="F4" s="9"/>
      <x:c r="G4" s="9"/>
      <x:c r="H4" s="9" t="str">
        <x:v>Week</x:v>
      </x:c>
      <x:c r="I4" s="9" t="str">
        <x:v>Tasks Completed</x:v>
      </x:c>
      <x:c r="J4" s="9"/>
      <x:c r="K4" s="9"/>
      <x:c r="L4" s="9"/>
    </x:row>
    <x:row r="5">
      <x:c r="A5" s="54" t="str">
        <x:v>Overall Status</x:v>
      </x:c>
      <x:c r="B5" s="55" t="str">
        <x:f>IF(AND(COUNTIF('Task Tracker'!F2:F11,"Complete")=COUNTA('Task Tracker'!A2:A11),COUNTIFS('RAID Log'!J2:J6,"&lt;&gt;Closed",'RAID Log'!J2:J6,"&lt;&gt;Complete",'RAID Log'!J2:J6,"&lt;&gt;Validated")=0),"Green","Attention")</x:f>
        <x:v>Green</x:v>
      </x:c>
      <x:c r="C5" s="9"/>
      <x:c r="D5" s="54" t="str">
        <x:v>Open Risks / Issues</x:v>
      </x:c>
      <x:c r="E5" s="55" t="n">
        <x:f>COUNTIFS('RAID Log'!B2:B6,"Risk",'RAID Log'!J2:J6,"&lt;&gt;Closed")+COUNTIFS('RAID Log'!B2:B6,"Issue",'RAID Log'!J2:J6,"&lt;&gt;Closed")</x:f>
        <x:v>0</x:v>
      </x:c>
      <x:c r="F5" s="9"/>
      <x:c r="G5" s="9"/>
      <x:c r="H5" s="9" t="str">
        <x:v>Week 1</x:v>
      </x:c>
      <x:c r="I5" s="9" t="n">
        <x:v>12</x:v>
      </x:c>
      <x:c r="J5" s="9"/>
      <x:c r="K5" s="9"/>
      <x:c r="L5" s="9"/>
    </x:row>
    <x:row r="6">
      <x:c r="A6" s="54" t="str">
        <x:v>Task Completion</x:v>
      </x:c>
      <x:c r="B6" s="56" t="n">
        <x:f>IFERROR(COUNTIF('Task Tracker'!F2:F11,"Complete")/COUNTA('Task Tracker'!A2:A11),0)</x:f>
        <x:v>1</x:v>
      </x:c>
      <x:c r="C6" s="9"/>
      <x:c r="D6" s="54" t="str">
        <x:v>Critical RAID Items</x:v>
      </x:c>
      <x:c r="E6" s="55" t="n">
        <x:f>COUNTIF('RAID Log'!M2:M6,"Critical")</x:f>
        <x:v>3</x:v>
      </x:c>
      <x:c r="F6" s="9"/>
      <x:c r="G6" s="9"/>
      <x:c r="H6" s="9" t="str">
        <x:v>Week 2</x:v>
      </x:c>
      <x:c r="I6" s="9" t="n">
        <x:v>15</x:v>
      </x:c>
      <x:c r="J6" s="9"/>
      <x:c r="K6" s="9"/>
      <x:c r="L6" s="9"/>
    </x:row>
    <x:row r="7">
      <x:c r="A7" s="54" t="str">
        <x:v>Milestone Completion</x:v>
      </x:c>
      <x:c r="B7" s="56" t="n">
        <x:f>IFERROR(COUNTIF(Milestones!D2:D7,"Complete")/COUNTA(Milestones!A2:A7),0)</x:f>
        <x:v>1</x:v>
      </x:c>
      <x:c r="C7" s="9"/>
      <x:c r="D7" s="54" t="str">
        <x:v>Current Velocity</x:v>
      </x:c>
      <x:c r="E7" s="55" t="n">
        <x:f>'Weekly Metrics'!F7</x:f>
        <x:v>48</x:v>
      </x:c>
      <x:c r="F7" s="9"/>
      <x:c r="G7" s="9"/>
      <x:c r="H7" s="9" t="str">
        <x:v>Week 3</x:v>
      </x:c>
      <x:c r="I7" s="9" t="n">
        <x:v>18</x:v>
      </x:c>
      <x:c r="J7" s="9"/>
      <x:c r="K7" s="9"/>
      <x:c r="L7" s="9"/>
    </x:row>
    <x:row r="8">
      <x:c r="A8" s="57" t="str">
        <x:v>Budget Variance</x:v>
      </x:c>
      <x:c r="B8" s="58" t="n">
        <x:f>IFERROR((Budget!B9-Budget!C9)/Budget!B9,0)</x:f>
        <x:v>0.017222222222222222</x:v>
      </x:c>
      <x:c r="C8" s="9"/>
      <x:c r="D8" s="57" t="str">
        <x:v>Launch Date</x:v>
      </x:c>
      <x:c r="E8" s="59" t="n">
        <x:f>MAX(Milestones!C2:C7)</x:f>
        <x:v>46251</x:v>
      </x:c>
      <x:c r="F8" s="9"/>
      <x:c r="G8" s="9"/>
      <x:c r="H8" s="9" t="str">
        <x:v>Week 4</x:v>
      </x:c>
      <x:c r="I8" s="9" t="n">
        <x:v>19</x:v>
      </x:c>
      <x:c r="J8" s="9"/>
      <x:c r="K8" s="9"/>
      <x:c r="L8" s="9"/>
    </x:row>
    <x:row r="9">
      <x:c r="A9" s="9"/>
      <x:c r="B9" s="9"/>
      <x:c r="C9" s="9"/>
      <x:c r="D9" s="9"/>
      <x:c r="E9" s="9"/>
      <x:c r="F9" s="9"/>
      <x:c r="G9" s="9"/>
      <x:c r="H9" s="9" t="str">
        <x:v>Week 5</x:v>
      </x:c>
      <x:c r="I9" s="9" t="n">
        <x:v>21</x:v>
      </x:c>
      <x:c r="J9" s="9"/>
      <x:c r="K9" s="9"/>
      <x:c r="L9" s="9"/>
    </x:row>
    <x:row r="10">
      <x:c r="A10" s="64" t="str">
        <x:v>Executive Summary</x:v>
      </x:c>
      <x:c r="B10" s="64" t="str"/>
      <x:c r="C10" s="64" t="str"/>
      <x:c r="D10" s="64" t="str"/>
      <x:c r="E10" s="64" t="str"/>
      <x:c r="F10" s="64" t="str"/>
      <x:c r="G10" s="64"/>
      <x:c r="H10" s="64" t="str">
        <x:v>Week 6</x:v>
      </x:c>
      <x:c r="I10" s="64" t="n">
        <x:v>24</x:v>
      </x:c>
      <x:c r="J10" s="9"/>
      <x:c r="K10" s="9"/>
      <x:c r="L10" s="9"/>
    </x:row>
    <x:row r="11">
      <x:c r="A11" s="9" t="str">
        <x:v>Scope</x:v>
      </x:c>
      <x:c r="B11" s="9" t="str">
        <x:v>Launch a secure e-commerce storefront with catalog, payments, testing, deployment, and hypercare.</x:v>
      </x:c>
      <x:c r="C11" s="9" t="str"/>
      <x:c r="D11" s="9" t="str"/>
      <x:c r="E11" s="9" t="str"/>
      <x:c r="F11" s="9" t="str"/>
      <x:c r="G11" s="9"/>
      <x:c r="H11" s="9"/>
      <x:c r="I11" s="9"/>
      <x:c r="J11" s="9"/>
      <x:c r="K11" s="9"/>
      <x:c r="L11" s="9"/>
    </x:row>
    <x:row r="12">
      <x:c r="A12" s="9" t="str">
        <x:v>Schedule</x:v>
      </x:c>
      <x:c r="B12" s="9" t="str">
        <x:v>Launch completed on baseline date; two interim milestones had 1-day variance.</x:v>
      </x:c>
      <x:c r="C12" s="9" t="str"/>
      <x:c r="D12" s="9" t="str"/>
      <x:c r="E12" s="9" t="str"/>
      <x:c r="F12" s="9" t="str"/>
      <x:c r="G12" s="9"/>
      <x:c r="H12" s="9"/>
      <x:c r="I12" s="9"/>
      <x:c r="J12" s="9"/>
      <x:c r="K12" s="9"/>
      <x:c r="L12" s="9"/>
    </x:row>
    <x:row r="13">
      <x:c r="A13" s="9" t="str">
        <x:v>Budget</x:v>
      </x:c>
      <x:c r="B13" s="9" t="str">
        <x:v>Project completed below baseline budget after offsetting payment-integration overage.</x:v>
      </x:c>
      <x:c r="C13" s="9" t="str"/>
      <x:c r="D13" s="9" t="str"/>
      <x:c r="E13" s="9" t="str"/>
      <x:c r="F13" s="9" t="str"/>
      <x:c r="G13" s="9"/>
      <x:c r="H13" s="9" t="str">
        <x:v>Week</x:v>
      </x:c>
      <x:c r="I13" s="9" t="str">
        <x:v>Velocity</x:v>
      </x:c>
      <x:c r="J13" s="9"/>
      <x:c r="K13" s="9"/>
      <x:c r="L13" s="9"/>
    </x:row>
    <x:row r="14">
      <x:c r="A14" s="9" t="str">
        <x:v>Quality</x:v>
      </x:c>
      <x:c r="B14" s="9" t="str">
        <x:v>UAT defects were triaged daily; all critical defects closed before readiness approval.</x:v>
      </x:c>
      <x:c r="C14" s="9" t="str"/>
      <x:c r="D14" s="9" t="str"/>
      <x:c r="E14" s="9" t="str"/>
      <x:c r="F14" s="9" t="str"/>
      <x:c r="G14" s="9"/>
      <x:c r="H14" s="9" t="str">
        <x:v>Week 1</x:v>
      </x:c>
      <x:c r="I14" s="9" t="n">
        <x:v>24</x:v>
      </x:c>
      <x:c r="J14" s="9"/>
      <x:c r="K14" s="9"/>
      <x:c r="L14" s="9"/>
    </x:row>
    <x:row r="15">
      <x:c r="A15" s="9" t="str">
        <x:v>Risk</x:v>
      </x:c>
      <x:c r="B15" s="9" t="str">
        <x:v>Payment certification and catalog-quality risks were mitigated before production deployment.</x:v>
      </x:c>
      <x:c r="C15" s="9" t="str"/>
      <x:c r="D15" s="9" t="str"/>
      <x:c r="E15" s="9" t="str"/>
      <x:c r="F15" s="9" t="str"/>
      <x:c r="G15" s="9"/>
      <x:c r="H15" s="9" t="str">
        <x:v>Week 2</x:v>
      </x:c>
      <x:c r="I15" s="9" t="n">
        <x:v>30</x:v>
      </x:c>
      <x:c r="J15" s="9"/>
      <x:c r="K15" s="9"/>
      <x:c r="L15" s="9"/>
    </x:row>
    <x:row r="16">
      <x:c r="A16" s="9" t="str">
        <x:v>Outcome</x:v>
      </x:c>
      <x:c r="B16" s="9" t="str">
        <x:v>24/24 planned tasks completed in final week; velocity increased from 24 to 48 across six weeks.</x:v>
      </x:c>
      <x:c r="C16" s="9" t="str"/>
      <x:c r="D16" s="9" t="str"/>
      <x:c r="E16" s="9" t="str"/>
      <x:c r="F16" s="9" t="str"/>
      <x:c r="G16" s="9"/>
      <x:c r="H16" s="9" t="str">
        <x:v>Week 3</x:v>
      </x:c>
      <x:c r="I16" s="9" t="n">
        <x:v>36</x:v>
      </x:c>
      <x:c r="J16" s="9"/>
      <x:c r="K16" s="9"/>
      <x:c r="L16" s="9"/>
    </x:row>
    <x:row r="17">
      <x:c r="A17" s="9"/>
      <x:c r="B17" s="9"/>
      <x:c r="C17" s="9"/>
      <x:c r="D17" s="9"/>
      <x:c r="E17" s="9"/>
      <x:c r="F17" s="9"/>
      <x:c r="G17" s="9"/>
      <x:c r="H17" s="9" t="str">
        <x:v>Week 4</x:v>
      </x:c>
      <x:c r="I17" s="9" t="n">
        <x:v>38</x:v>
      </x:c>
      <x:c r="J17" s="9"/>
      <x:c r="K17" s="9"/>
      <x:c r="L17" s="9"/>
    </x:row>
    <x:row r="18">
      <x:c r="A18" s="9"/>
      <x:c r="B18" s="9"/>
      <x:c r="C18" s="9"/>
      <x:c r="D18" s="9"/>
      <x:c r="E18" s="9"/>
      <x:c r="F18" s="9"/>
      <x:c r="G18" s="9"/>
      <x:c r="H18" s="9" t="str">
        <x:v>Week 5</x:v>
      </x:c>
      <x:c r="I18" s="9" t="n">
        <x:v>42</x:v>
      </x:c>
      <x:c r="J18" s="9"/>
      <x:c r="K18" s="9"/>
      <x:c r="L18" s="9"/>
    </x:row>
    <x:row r="19">
      <x:c r="A19" s="9"/>
      <x:c r="B19" s="9"/>
      <x:c r="C19" s="9"/>
      <x:c r="D19" s="9"/>
      <x:c r="E19" s="9"/>
      <x:c r="F19" s="9"/>
      <x:c r="G19" s="9"/>
      <x:c r="H19" s="9" t="str">
        <x:v>Week 6</x:v>
      </x:c>
      <x:c r="I19" s="9" t="n">
        <x:v>48</x:v>
      </x:c>
      <x:c r="J19" s="9"/>
      <x:c r="K19" s="9"/>
      <x:c r="L19" s="9"/>
    </x:row>
    <x:row r="20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</x:row>
    <x:row r="39">
      <x:c r="A39" s="66" t="str">
        <x:v>Dashboard Interpretation</x:v>
      </x:c>
      <x:c r="B39" s="66"/>
      <x:c r="C39" s="66"/>
      <x:c r="D39" s="66"/>
      <x:c r="E39" s="66"/>
      <x:c r="F39" s="66"/>
      <x:c r="G39" s="66"/>
      <x:c r="H39" s="66"/>
      <x:c r="I39" s="66"/>
    </x:row>
    <x:row r="40">
      <x:c r="A40" s="67" t="str">
        <x:v>This dashboard is built directly in Excel. KPI cards are formula-driven from the Task Tracker, RAID Log, Milestones, Budget, and Weekly Metrics sheets. Charts are native Excel charts and update when the underlying project data changes.</x:v>
      </x:c>
      <x:c r="B40" s="67"/>
      <x:c r="C40" s="67"/>
      <x:c r="D40" s="67"/>
      <x:c r="E40" s="67"/>
      <x:c r="F40" s="67"/>
      <x:c r="G40" s="67"/>
      <x:c r="H40" s="67"/>
      <x:c r="I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</x:row>
  </x:sheetData>
  <x:mergeCells>
    <x:mergeCell ref="A1:L2"/>
    <x:mergeCell ref="A10:F10"/>
    <x:mergeCell ref="A11:F11"/>
    <x:mergeCell ref="A12:F12"/>
    <x:mergeCell ref="A13:F13"/>
    <x:mergeCell ref="A14:F14"/>
    <x:mergeCell ref="A15:F15"/>
    <x:mergeCell ref="A16:F16"/>
    <x:mergeCell ref="A39:I39"/>
    <x:mergeCell ref="A40:I43"/>
  </x:mergeCells>
  <x:pageMargins left="0.7" right="0.7" top="0.75" bottom="0.75" header="0.3" footer="0.3"/>
  <x:drawing xmlns:r="http://schemas.openxmlformats.org/officeDocument/2006/relationships" r:id="Raf22035df80b4834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4" hidden="0" customWidth="1"/>
    <x:col min="3" max="3" width="30" hidden="0" customWidth="1"/>
    <x:col min="4" max="4" width="38" hidden="0" customWidth="1"/>
  </x:cols>
  <x:sheetData>
    <x:row r="1">
      <x:c r="A1" s="46" t="str">
        <x:v>Area</x:v>
      </x:c>
      <x:c r="B1" s="46" t="str">
        <x:v>Formula Example</x:v>
      </x:c>
      <x:c r="C1" s="46" t="str">
        <x:v>Purpose</x:v>
      </x:c>
      <x:c r="D1" s="46" t="str">
        <x:v>Interview Talking Point</x:v>
      </x:c>
    </x:row>
    <x:row r="2">
      <x:c r="A2" s="9" t="str">
        <x:v>Weekly Metrics</x:v>
      </x:c>
      <x:c r="B2" s="9" t="str">
        <x:v>=IFERROR(C2/B2,0)</x:v>
      </x:c>
      <x:c r="C2" s="9" t="str">
        <x:v>Weekly task completion rate</x:v>
      </x:c>
      <x:c r="D2" s="9" t="str">
        <x:v>Automates KPI tracking.</x:v>
      </x:c>
    </x:row>
    <x:row r="3">
      <x:c r="A3" s="9" t="str">
        <x:v>Task Tracker</x:v>
      </x:c>
      <x:c r="B3" s="9" t="str">
        <x:v>=IF(F2="Complete",0,H2-TODAY())</x:v>
      </x:c>
      <x:c r="C3" s="9" t="str">
        <x:v>Days remaining</x:v>
      </x:c>
      <x:c r="D3" s="9" t="str">
        <x:v>Supports proactive deadline monitoring.</x:v>
      </x:c>
    </x:row>
    <x:row r="4">
      <x:c r="A4" s="9" t="str">
        <x:v>Task Tracker</x:v>
      </x:c>
      <x:c r="B4" s="9" t="str">
        <x:v>=IF(F2="Complete","Green",IF(H2&lt;TODAY(),"Red",IF(H2-TODAY()&lt;=3,"Amber","Green")))</x:v>
      </x:c>
      <x:c r="C4" s="9" t="str">
        <x:v>RAG health</x:v>
      </x:c>
      <x:c r="D4" s="9" t="str">
        <x:v>Automatically flags schedule risk.</x:v>
      </x:c>
    </x:row>
    <x:row r="5">
      <x:c r="A5" s="9" t="str">
        <x:v>RAID Log</x:v>
      </x:c>
      <x:c r="B5" s="9" t="str">
        <x:v>=D2*E2</x:v>
      </x:c>
      <x:c r="C5" s="9" t="str">
        <x:v>Risk score</x:v>
      </x:c>
      <x:c r="D5" s="9" t="str">
        <x:v>Standardizes risk prioritization.</x:v>
      </x:c>
    </x:row>
    <x:row r="6">
      <x:c r="A6" s="9" t="str">
        <x:v>RAID Log</x:v>
      </x:c>
      <x:c r="B6" s="9" t="str">
        <x:v>=IF(F2&gt;=15,"Critical",IF(F2&gt;=10,"High",IF(F2&gt;=5,"Medium","Low")))</x:v>
      </x:c>
      <x:c r="C6" s="9" t="str">
        <x:v>Risk severity</x:v>
      </x:c>
      <x:c r="D6" s="9" t="str">
        <x:v>Supports escalation decisions.</x:v>
      </x:c>
    </x:row>
    <x:row r="7">
      <x:c r="A7" s="9" t="str">
        <x:v>Milestones</x:v>
      </x:c>
      <x:c r="B7" s="9" t="str">
        <x:v>=IF(C2="","",C2-B2)</x:v>
      </x:c>
      <x:c r="C7" s="9" t="str">
        <x:v>Schedule variance</x:v>
      </x:c>
      <x:c r="D7" s="9" t="str">
        <x:v>Compares actual vs baseline.</x:v>
      </x:c>
    </x:row>
    <x:row r="8">
      <x:c r="A8" s="9" t="str">
        <x:v>Budget</x:v>
      </x:c>
      <x:c r="B8" s="9" t="str">
        <x:v>=B2-C2</x:v>
      </x:c>
      <x:c r="C8" s="9" t="str">
        <x:v>Cost variance</x:v>
      </x:c>
      <x:c r="D8" s="9" t="str">
        <x:v>Shows favorable/unfavorable performance.</x:v>
      </x:c>
    </x:row>
    <x:row r="9">
      <x:c r="A9" s="9" t="str">
        <x:v>Budget</x:v>
      </x:c>
      <x:c r="B9" s="9" t="str">
        <x:v>=IFERROR(D2/B2,0)</x:v>
      </x:c>
      <x:c r="C9" s="9" t="str">
        <x:v>Variance %</x:v>
      </x:c>
      <x:c r="D9" s="9" t="str">
        <x:v>Normalizes variance across categories.</x:v>
      </x:c>
    </x:row>
    <x:row r="10">
      <x:c r="A10" s="9" t="str">
        <x:v>Dashboard</x:v>
      </x:c>
      <x:c r="B10" s="9" t="str">
        <x:v>=COUNTIF('Task Tracker'!F2:F11,"Complete")/COUNTA('Task Tracker'!A2:A11)</x:v>
      </x:c>
      <x:c r="C10" s="9" t="str">
        <x:v>Dashboard completion KPI</x:v>
      </x:c>
      <x:c r="D10" s="9" t="str">
        <x:v>Links dashboard to source tracker.</x:v>
      </x:c>
    </x:row>
    <x:row r="11">
      <x:c r="A11" s="9" t="str">
        <x:v>Dashboard</x:v>
      </x:c>
      <x:c r="B11" s="9" t="str">
        <x:v>='Weekly Metrics'!F7</x:v>
      </x:c>
      <x:c r="C11" s="9" t="str">
        <x:v>Current velocity</x:v>
      </x:c>
      <x:c r="D11" s="9" t="str">
        <x:v>Synchronizes executive reporting.</x:v>
      </x:c>
    </x:row>
  </x:sheetData>
  <x:pageMargins left="0.7" right="0.7" top="0.75" bottom="0.75" header="0.3" footer="0.3"/>
</x:worksheet>
</file>